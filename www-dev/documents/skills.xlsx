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職務経歴" sheetId="1" r:id="rId4"/>
  </sheets>
  <definedNames>
    <definedName name="Excel_BuiltIn__FilterDatabase_1">'職務経歴'!$A$1:$R$5</definedName>
    <definedName hidden="1" name="Google_Sheet_Link_654185570">Excel_BuiltIn__FilterDatabase_1</definedName>
  </definedNames>
  <calcPr/>
  <extLst>
    <ext uri="GoogleSheetsCustomDataVersion2">
      <go:sheetsCustomData xmlns:go="http://customooxmlschemas.google.com/" r:id="rId5" roundtripDataChecksum="rJhvmwymSloGbwgXVMTeb0N+Wf3+VTEbaX4gqJKhPLY="/>
    </ext>
  </extLst>
</workbook>
</file>

<file path=xl/sharedStrings.xml><?xml version="1.0" encoding="utf-8"?>
<sst xmlns="http://schemas.openxmlformats.org/spreadsheetml/2006/main" count="166" uniqueCount="71">
  <si>
    <t>スキルシート</t>
  </si>
  <si>
    <t>技術者名</t>
  </si>
  <si>
    <t>石岡隆光</t>
  </si>
  <si>
    <t>所　　属</t>
  </si>
  <si>
    <t>自営</t>
  </si>
  <si>
    <t>年　　齢</t>
  </si>
  <si>
    <t>66歳</t>
  </si>
  <si>
    <t>性　　別</t>
  </si>
  <si>
    <t>男</t>
  </si>
  <si>
    <t>資　　格</t>
  </si>
  <si>
    <t>学　　歴</t>
  </si>
  <si>
    <t>大学卒（東京外国語大学英米語学科）</t>
  </si>
  <si>
    <t>稼　　動</t>
  </si>
  <si>
    <t>即日～</t>
  </si>
  <si>
    <t>最 寄 駅</t>
  </si>
  <si>
    <t>蕨（JR京浜東北線）</t>
  </si>
  <si>
    <t>得意技術</t>
  </si>
  <si>
    <t>・Windowsアプリケーション開発（GUI, サービス, socket, メモリ管理, 省リソース, performance-critical）
・Linuxアプリケーション開発（マルチプロセス、マルチスレッド、メモリ管理、HTTP, SMTP, SMPPv3.4, TCP/IP, ipsec、socket, pthread, semaphore, mutex, shared memory, tracepoint）
・ウェブアプリケーション開発（サーバーサイド、クライアントサイド、独自 SPA フレームワークの設計・実装）
・DB の設計、実装、パフォーマンス・チューニング、移行
・ネットワークの設計と実装 (オンプレミス・クラウドの Linux インスタンスの作成・設定、ロードバランサー、Apache VirtualHost 設定, DNS 設定、VPN ソフトウェア・ルーター）
・開発体制と開発ツールの設計と実装（一つの「アプリケーション」つまり「GUI + API レイヤ + DB のセット」を常に「開発」「商用β」「商用」の3種類作成することで CI/CD を安全かつ効率的なものにすｊる）
・アルゴリズム開発（自然言語処理, 並列処理, メモリ断片化・メモリリーク防止）</t>
  </si>
  <si>
    <t>得意業務</t>
  </si>
  <si>
    <t>アプリケーション開発の全ての工程（企画、設計、技術選定、実装、デバッグ、運用、評価、ユーザーサポート, キュメンテーション, 教育）</t>
  </si>
  <si>
    <t>自己PR</t>
  </si>
  <si>
    <r>
      <rPr>
        <rFont val="MS Mincho"/>
        <sz val="11.0"/>
      </rPr>
      <t xml:space="preserve">「システムとは何か」に対する深い洞察と、それを基盤とした演繹的推論の能力があります。
「手持ちの道具を組み合わせてできることをやる」
のではなく
「まず目的を定め、それを実現するために何が必要かを考える」
そして
『無いものは作る』
また、能書きを垂れるだけではなく、実装の過程で未知の技術が必要になれば、それをその都度習得しつつ、実際に動き、役に立つものを作ってきました。
必要な技術はすべて必要性を感じてから習得してきたので、GCP、TypeScript、Python、機械学習等、今後必要になる未経験の技術も短期間で使いこなす自信があります。
例: 今、GCP で TensorFlow2 を使ってみています（既に理解したつもりになっています）。
例: 最近、Codecademy で TypeScript のコースを始めました（既に理解したつもりになっています）。
例: ChatGPT-4 は既に手放せない日常のツールになっています。このスキルシートも ChatGPT と相談しながら書きました。
必要に応じて中～小規模のライブラリやフレームワークなら自分で作ることができます。
また、長い間に作り溜め、動作検証済みの自作ライブラリを持っています。
例: C++ のヒープメモリ断片化を防ぐメモリ管理ライブラリ。これは日本語形態素解析システムと、ショートメッセージ一括送信システム（後述）の送信モジュールと外部 API、および TCPDetective （後述）に使いました。
例: C++ のヒープメモリ断片化を防ぐメモリ管理ライブラリを使った PostgreSQL クライアントクラス。これは ショートメッセージ一括送信システム（後述）の送信モジュールと外部 API に使いました。
例: https://www.tcpdetective.com/ は自作の SPA (Single Page Application) フレームワークで作りました。
例: 私のポートフォリオサイト https://www.starship.jp/ も、そのフレームワークで作りました。
ここまでの文章を読まれると「理屈屋で気難しい性格」を想像されるかもしれませんが、実は硬軟のコミュニケーションにも長けていると思います。
https://twitter.com/kisaburo_y では人格をほぼ丸出しにしています。
Windows用メールソフト『電信八号』で「第5回フリーソフトウェア大賞」に入賞しました。
https://ja.wikipedia.org/wiki/電信八号
</t>
    </r>
    <r>
      <rPr>
        <rFont val="MS Mincho"/>
        <color rgb="FF1155CC"/>
        <sz val="11.0"/>
        <u/>
      </rPr>
      <t>https://www.iajapan.org/osp/menu04.html</t>
    </r>
  </si>
  <si>
    <t>期間</t>
  </si>
  <si>
    <t>業務内容</t>
  </si>
  <si>
    <t>業種</t>
  </si>
  <si>
    <t>役割
規模</t>
  </si>
  <si>
    <t>使用言語</t>
  </si>
  <si>
    <t>DB</t>
  </si>
  <si>
    <t>サーバOS</t>
  </si>
  <si>
    <t>FW・MW
ツール
等</t>
  </si>
  <si>
    <t>担当工程</t>
  </si>
  <si>
    <t>要件定義</t>
  </si>
  <si>
    <t>基本設計</t>
  </si>
  <si>
    <t>詳細設計</t>
  </si>
  <si>
    <t>実装・単体</t>
  </si>
  <si>
    <t>結合テスト</t>
  </si>
  <si>
    <t>総合テスト</t>
  </si>
  <si>
    <t>保守・運用</t>
  </si>
  <si>
    <t>-</t>
  </si>
  <si>
    <t>■サブスクリプション方式の EC サイト</t>
  </si>
  <si>
    <t>IT</t>
  </si>
  <si>
    <t>C++ (gcc)
HTML
css
javascript
PHP
bash
node.js</t>
  </si>
  <si>
    <t>PostgreSQL</t>
  </si>
  <si>
    <t>Amazon Linux 2</t>
  </si>
  <si>
    <t>Apache
自作SPAフレームワーク</t>
  </si>
  <si>
    <t>○</t>
  </si>
  <si>
    <r>
      <rPr>
        <rFont val="MS Mincho"/>
        <sz val="11.0"/>
      </rPr>
      <t xml:space="preserve">≪担当業務≫
企画、設計、実装、テスト、運用までのすべて
≪習得スキル≫
PayPal API, LINE API, jQuery ajax(), cgi, qrcode, node.js
≪コメント≫
後述の IDS (Intrusion Detection System) TCPDetective を PayPal の「サブスクリプション」で販売する EC サイトを開発
受託開発ではなく個人的な自主開発です
詳細は </t>
    </r>
    <r>
      <rPr>
        <rFont val="MS Mincho"/>
        <color rgb="FF1155CC"/>
        <sz val="11.0"/>
        <u/>
      </rPr>
      <t>https://www.starship.jp/?ref=skills</t>
    </r>
    <r>
      <rPr>
        <rFont val="MS Mincho"/>
        <sz val="11.0"/>
      </rPr>
      <t xml:space="preserve"> をご覧ください。</t>
    </r>
  </si>
  <si>
    <t>チーム
1名
開発
1名
全体
1名</t>
  </si>
  <si>
    <t>■Linux 用 IDS (Intrusion Detection System)</t>
  </si>
  <si>
    <t xml:space="preserve">SystemTap
C++ (gcc)
PHP
bash
</t>
  </si>
  <si>
    <t>Apache</t>
  </si>
  <si>
    <r>
      <rPr>
        <rFont val="MS Mincho"/>
        <sz val="11.0"/>
      </rPr>
      <t xml:space="preserve">≪担当業務≫
企画、設計、実装、テスト、運用までのすべて
≪習得スキル≫
SystemTap (Linux kernel からのコールバックの仕組み）, C++ (gcc), PHP, bash
≪コメント≫
Linux 用 IDS (Intrusion Detection System) TCPDetective を開発
受託開発ではなく個人的な自主開発です
詳細は </t>
    </r>
    <r>
      <rPr>
        <rFont val="MS Mincho"/>
        <color rgb="FF1155CC"/>
        <sz val="11.0"/>
        <u/>
      </rPr>
      <t>https://www.tcpdetective.com/?ref=skills</t>
    </r>
    <r>
      <rPr>
        <rFont val="MS Mincho"/>
        <sz val="11.0"/>
      </rPr>
      <t xml:space="preserve"> をご覧ください。</t>
    </r>
  </si>
  <si>
    <t>■ショートメッセージ一括大量送信システム</t>
  </si>
  <si>
    <r>
      <rPr>
        <rFont val="MS Mincho"/>
        <sz val="11.0"/>
      </rPr>
      <t xml:space="preserve">≪担当業務≫
設計、実装、テスト、運用、ドキュメンテーション、ユーザーサポート
≪習得スキル≫
マルチプロセス・マルチスレッドプログラミング、プロセス間通信 (socket, shared memory)、同期処理 (mutex, semaphore)
TCP/IP, VPN
SMPP (Short Message Peer-to-peer Protocol V3.4)
AWS: EC2, Amazon Linux, Amazon Linux 2, VPC, ELB, WAF, CloudWatch, RDS (PostgreSQL), Aurora (PostgreSQL), EFS
Apache config, DNS
bash, php, Java, javascript, jquery, bootstrap, HTML, css
CI/CD
≪コメント≫
受託開発ではなく自社開発です。
詳細は </t>
    </r>
    <r>
      <rPr>
        <rFont val="MS Mincho"/>
        <color rgb="FF1155CC"/>
        <sz val="11.0"/>
        <u/>
      </rPr>
      <t>https://www.starship.jp/</t>
    </r>
    <r>
      <rPr>
        <rFont val="MS Mincho"/>
        <sz val="11.0"/>
      </rPr>
      <t xml:space="preserve"> をご覧ください。
2010～2014 は動画配信サービス、音声合成 Web API サーバー、動画・音声を合成するキャンペーンサイト構築等の作業をいくつかしましたが、細かい受託開発なので割愛します</t>
    </r>
  </si>
  <si>
    <t>チーム
3名
開発
3名
全体
3名</t>
  </si>
  <si>
    <t>■日本語形態素・構文解析</t>
  </si>
  <si>
    <t>Visual C/C++
C++ (gcc)
Visual C#
Java
HTML</t>
  </si>
  <si>
    <t>FreeBSD
Linux (Fedora)
Windows
Windows Server</t>
  </si>
  <si>
    <t>≪担当業務≫
Windows用日本語形態素・構文解析ライブラリおよび開発ツールおよびウェブデモシステムの開発: 企画、設計、実装、デバッグ、運用、チームリーディング
≪習得スキル≫
Linux (Fedora) のインストール、設定、運用
LAN 構築
Apache インストール、設定、運用
Java Applet
Tree Transducer のアルゴリズム開発
Windows サービス (Linux の daemon に相当）プログラミング
Linux プログラミング
TCP/IP, socket プログラミング
HTTP 通信
≪コメント≫
日本語構文解析システムの自社開発。</t>
  </si>
  <si>
    <t>チーム
50名
開発
50名
全体
50名</t>
  </si>
  <si>
    <t>■機械翻訳</t>
  </si>
  <si>
    <t>C (cc)
Visual C/C++
Visual Basic
Franz Lisp
UTI-LISP
csh
awk
perl</t>
  </si>
  <si>
    <t>BSD UNIX
System V UNIX
Windows NT
Windows 95</t>
  </si>
  <si>
    <t>≪担当業務≫
英語解析部の基本設計から実装、テストまで
辞書開発チームのリーダー
開発ツールの企画、設計、実装、テスト、運用
≪習得スキル≫
自然言語処理、アルゴリズム開発
開発ツールの開発: ソースコードバージョン管理、一括大量翻訳テスト自動化、品質評価半自動化、課題追跡、コミュニケーションなどのツール
UNIXプログラミング (cc, UTI-LISP, awk, perl, csh)
Windowsプログラミング (Visual C++)
≪コメント≫
NECの機械翻訳プロジェクトです。</t>
  </si>
  <si>
    <t>UTI-LISP</t>
  </si>
  <si>
    <t>(OSではありませんが）富士通のメインフレーム</t>
  </si>
  <si>
    <t>≪担当業務≫
英語解析部の設計、実装、テスト
日英トランスファー部の設計、実装、テスト
≪習得スキル≫
情報工学の基礎: 電子計算機とは何か、計算機の歴史、計算機言語の種類、人工知能、ニューラルネット
アルゴリズム開発
ルールベースの自然言語処理
プログラミング (UTI-LISP)
≪コメント≫
通産省の機械翻訳プロジェクト（通称 Mu プロジェクト。場所は京大の長尾研）</t>
  </si>
  <si>
    <t>チーム
10名
開発
10名
全体
?名</t>
  </si>
  <si>
    <t>■</t>
  </si>
  <si>
    <t>≪担当業務≫
≪習得スキル≫
≪コメント≫</t>
  </si>
  <si>
    <t>チーム
-名
開発
-名
全体
-名</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</si>
</sst>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年&quot;m&quot;月&quot;d&quot;日&quot;"/>
    <numFmt numFmtId="165" formatCode="&quot;&quot;#&quot;歳&quot;"/>
    <numFmt numFmtId="166" formatCode="yyyy&quot;年&quot;m&quot;月&quot;"/>
    <numFmt numFmtId="167" formatCode="&quot;(&quot;#&quot;ヶ月間)&quot;"/>
  </numFmts>
  <fonts count="8">
    <font>
      <sz val="11.0"/>
      <color rgb="FF000000"/>
      <name val="MS PGothic"/>
      <scheme val="minor"/>
    </font>
    <font>
      <b/>
      <sz val="22.0"/>
      <color theme="1"/>
      <name val="MS Mincho"/>
    </font>
    <font/>
    <font>
      <sz val="11.0"/>
      <color theme="1"/>
      <name val="MS Mincho"/>
    </font>
    <font>
      <b/>
      <sz val="11.0"/>
      <color theme="1"/>
      <name val="MS Mincho"/>
    </font>
    <font>
      <sz val="11.0"/>
      <color rgb="FF000000"/>
      <name val="&quot;MS Mincho&quot;"/>
    </font>
    <font>
      <u/>
      <sz val="11.0"/>
      <color rgb="FF0000FF"/>
      <name val="MS Mincho"/>
    </font>
    <font>
      <u/>
      <sz val="11.0"/>
      <color rgb="FF0000FF"/>
      <name val="MS Mincho"/>
    </font>
  </fonts>
  <fills count="4">
    <fill>
      <patternFill patternType="none"/>
    </fill>
    <fill>
      <patternFill patternType="lightGray"/>
    </fill>
    <fill>
      <patternFill patternType="solid">
        <fgColor rgb="FFFFFFFF"/>
        <bgColor rgb="FFFFFFFF"/>
      </patternFill>
    </fill>
    <fill>
      <patternFill patternType="solid">
        <fgColor rgb="FF99CCFF"/>
        <bgColor rgb="FF99CCFF"/>
      </patternFill>
    </fill>
  </fills>
  <borders count="78">
    <border/>
    <border>
      <left/>
      <top/>
      <bottom style="medium">
        <color rgb="FF003300"/>
      </bottom>
    </border>
    <border>
      <top/>
      <bottom style="medium">
        <color rgb="FF003300"/>
      </bottom>
    </border>
    <border>
      <right/>
      <top/>
      <bottom style="medium">
        <color rgb="FF003300"/>
      </bottom>
    </border>
    <border>
      <left style="medium">
        <color rgb="FF003300"/>
      </left>
      <top style="medium">
        <color rgb="FF003300"/>
      </top>
      <bottom style="thin">
        <color rgb="FF003300"/>
      </bottom>
    </border>
    <border>
      <right style="thin">
        <color rgb="FF003300"/>
      </right>
      <top style="medium">
        <color rgb="FF003300"/>
      </top>
      <bottom style="thin">
        <color rgb="FF003300"/>
      </bottom>
    </border>
    <border>
      <left style="thin">
        <color rgb="FF000000"/>
      </left>
    </border>
    <border>
      <right style="thin">
        <color rgb="FF003300"/>
      </right>
    </border>
    <border>
      <left style="thin">
        <color rgb="FF003300"/>
      </left>
      <top style="medium">
        <color rgb="FF003300"/>
      </top>
      <bottom style="thin">
        <color rgb="FF003300"/>
      </bottom>
    </border>
    <border>
      <left style="thin">
        <color rgb="FF003300"/>
      </left>
      <top style="medium">
        <color rgb="FF003300"/>
      </top>
      <bottom style="hair">
        <color rgb="FF003300"/>
      </bottom>
    </border>
    <border>
      <top style="medium">
        <color rgb="FF003300"/>
      </top>
      <bottom style="hair">
        <color rgb="FF003300"/>
      </bottom>
    </border>
    <border>
      <right style="medium">
        <color rgb="FF003300"/>
      </right>
      <top style="medium">
        <color rgb="FF003300"/>
      </top>
      <bottom style="hair">
        <color rgb="FF003300"/>
      </bottom>
    </border>
    <border>
      <left style="medium">
        <color rgb="FF003300"/>
      </left>
      <top style="thin">
        <color rgb="FF003300"/>
      </top>
      <bottom style="thin">
        <color rgb="FF003300"/>
      </bottom>
    </border>
    <border>
      <right style="thin">
        <color rgb="FF003300"/>
      </right>
      <top style="thin">
        <color rgb="FF003300"/>
      </top>
      <bottom style="thin">
        <color rgb="FF003300"/>
      </bottom>
    </border>
    <border>
      <left style="thin">
        <color rgb="FF003300"/>
      </left>
    </border>
    <border>
      <left style="thin">
        <color rgb="FF003300"/>
      </left>
      <top style="thin">
        <color rgb="FF003300"/>
      </top>
      <bottom style="thin">
        <color rgb="FF003300"/>
      </bottom>
    </border>
    <border>
      <left style="thin">
        <color rgb="FF003300"/>
      </left>
      <top style="hair">
        <color rgb="FF003300"/>
      </top>
      <bottom style="hair">
        <color rgb="FF003300"/>
      </bottom>
    </border>
    <border>
      <top style="hair">
        <color rgb="FF003300"/>
      </top>
      <bottom style="hair">
        <color rgb="FF003300"/>
      </bottom>
    </border>
    <border>
      <right style="medium">
        <color rgb="FF003300"/>
      </right>
      <top style="hair">
        <color rgb="FF003300"/>
      </top>
      <bottom style="hair">
        <color rgb="FF003300"/>
      </bottom>
    </border>
    <border>
      <left style="medium">
        <color rgb="FF003300"/>
      </left>
      <top style="thin">
        <color rgb="FF003300"/>
      </top>
      <bottom style="medium">
        <color rgb="FF003300"/>
      </bottom>
    </border>
    <border>
      <right style="thin">
        <color rgb="FF003300"/>
      </right>
      <top style="thin">
        <color rgb="FF003300"/>
      </top>
      <bottom style="medium">
        <color rgb="FF003300"/>
      </bottom>
    </border>
    <border>
      <left style="thin">
        <color rgb="FF003300"/>
      </left>
      <top style="thin">
        <color rgb="FF003300"/>
      </top>
      <bottom style="medium">
        <color rgb="FF003300"/>
      </bottom>
    </border>
    <border>
      <left style="thin">
        <color rgb="FF003300"/>
      </left>
      <top style="hair">
        <color rgb="FF003300"/>
      </top>
      <bottom style="medium">
        <color rgb="FF003300"/>
      </bottom>
    </border>
    <border>
      <top style="hair">
        <color rgb="FF003300"/>
      </top>
      <bottom style="medium">
        <color rgb="FF003300"/>
      </bottom>
    </border>
    <border>
      <right style="medium">
        <color rgb="FF003300"/>
      </right>
      <top style="hair">
        <color rgb="FF003300"/>
      </top>
      <bottom style="medium">
        <color rgb="FF003300"/>
      </bottom>
    </border>
    <border>
      <left style="medium">
        <color rgb="FF003300"/>
      </left>
    </border>
    <border>
      <left style="medium">
        <color rgb="FF003300"/>
      </left>
      <top style="thin">
        <color rgb="FF003300"/>
      </top>
      <bottom/>
    </border>
    <border>
      <right style="thin">
        <color rgb="FF003300"/>
      </right>
      <top style="thin">
        <color rgb="FF003300"/>
      </top>
      <bottom/>
    </border>
    <border>
      <top style="medium">
        <color rgb="FF003300"/>
      </top>
    </border>
    <border>
      <right style="medium">
        <color rgb="FF003300"/>
      </right>
      <top style="medium">
        <color rgb="FF003300"/>
      </top>
    </border>
    <border>
      <left style="thin">
        <color rgb="FF003300"/>
      </left>
      <bottom style="medium">
        <color rgb="FF003300"/>
      </bottom>
    </border>
    <border>
      <bottom style="medium">
        <color rgb="FF003300"/>
      </bottom>
    </border>
    <border>
      <right style="medium">
        <color rgb="FF003300"/>
      </right>
      <bottom style="medium">
        <color rgb="FF003300"/>
      </bottom>
    </border>
    <border>
      <left style="medium">
        <color rgb="FF003300"/>
      </left>
      <top style="medium">
        <color rgb="FF003300"/>
      </top>
      <bottom style="medium">
        <color rgb="FF003300"/>
      </bottom>
    </border>
    <border>
      <right style="thin">
        <color rgb="FF003300"/>
      </right>
      <top style="medium">
        <color rgb="FF003300"/>
      </top>
      <bottom style="medium">
        <color rgb="FF003300"/>
      </bottom>
    </border>
    <border>
      <top style="medium">
        <color rgb="FF003300"/>
      </top>
      <bottom style="medium">
        <color rgb="FF003300"/>
      </bottom>
    </border>
    <border>
      <right style="medium">
        <color rgb="FF003300"/>
      </right>
      <top style="medium">
        <color rgb="FF003300"/>
      </top>
      <bottom style="medium">
        <color rgb="FF003300"/>
      </bottom>
    </border>
    <border>
      <left style="medium">
        <color rgb="FF003300"/>
      </left>
      <top style="medium">
        <color rgb="FF003300"/>
      </top>
    </border>
    <border>
      <right style="thin">
        <color rgb="FF003300"/>
      </right>
      <top style="medium">
        <color rgb="FF003300"/>
      </top>
    </border>
    <border>
      <left style="thin">
        <color rgb="FF003300"/>
      </left>
      <right style="thin">
        <color rgb="FF003300"/>
      </right>
      <top style="medium">
        <color rgb="FF003300"/>
      </top>
    </border>
    <border>
      <top style="medium">
        <color rgb="FF003300"/>
      </top>
      <bottom style="thin">
        <color rgb="FF003300"/>
      </bottom>
    </border>
    <border>
      <right style="medium">
        <color rgb="FF003300"/>
      </right>
      <top style="medium">
        <color rgb="FF003300"/>
      </top>
      <bottom style="thin">
        <color rgb="FF003300"/>
      </bottom>
    </border>
    <border>
      <left style="medium">
        <color rgb="FF003300"/>
      </left>
      <bottom style="double">
        <color rgb="FF003300"/>
      </bottom>
    </border>
    <border>
      <bottom style="double">
        <color rgb="FF003300"/>
      </bottom>
    </border>
    <border>
      <right style="thin">
        <color rgb="FF003300"/>
      </right>
      <bottom style="double">
        <color rgb="FF003300"/>
      </bottom>
    </border>
    <border>
      <left style="thin">
        <color rgb="FF003300"/>
      </left>
      <right style="thin">
        <color rgb="FF003300"/>
      </right>
      <bottom style="double">
        <color rgb="FF003300"/>
      </bottom>
    </border>
    <border>
      <left style="thin">
        <color rgb="FF003300"/>
      </left>
      <right style="thin">
        <color rgb="FF003300"/>
      </right>
      <top style="thin">
        <color rgb="FF003300"/>
      </top>
      <bottom style="double">
        <color rgb="FF003300"/>
      </bottom>
    </border>
    <border>
      <left style="thin">
        <color rgb="FF003300"/>
      </left>
      <right style="medium">
        <color rgb="FF003300"/>
      </right>
      <top style="thin">
        <color rgb="FF003300"/>
      </top>
      <bottom style="double">
        <color rgb="FF003300"/>
      </bottom>
    </border>
    <border>
      <left style="medium">
        <color rgb="FF003300"/>
      </left>
      <right style="hair">
        <color rgb="FF003300"/>
      </right>
      <top style="double">
        <color rgb="FF003300"/>
      </top>
    </border>
    <border>
      <left style="hair">
        <color rgb="FF003300"/>
      </left>
      <right style="hair">
        <color rgb="FF003300"/>
      </right>
      <top style="thin">
        <color rgb="FF003300"/>
      </top>
    </border>
    <border>
      <left style="hair">
        <color rgb="FF003300"/>
      </left>
      <right style="hair">
        <color rgb="FF003300"/>
      </right>
      <bottom style="hair">
        <color rgb="FF003300"/>
      </bottom>
    </border>
    <border>
      <left style="hair">
        <color rgb="FF003300"/>
      </left>
      <right style="hair">
        <color rgb="FF003300"/>
      </right>
      <top style="double">
        <color rgb="FF003300"/>
      </top>
    </border>
    <border>
      <left style="hair">
        <color rgb="FF003300"/>
      </left>
      <right style="hair">
        <color rgb="FF003300"/>
      </right>
      <top style="double">
        <color rgb="FF003300"/>
      </top>
      <bottom style="hair">
        <color rgb="FF003300"/>
      </bottom>
    </border>
    <border>
      <left style="medium">
        <color rgb="FF003300"/>
      </left>
      <right style="hair">
        <color rgb="FF003300"/>
      </right>
    </border>
    <border>
      <left style="hair">
        <color rgb="FF003300"/>
      </left>
      <right style="hair">
        <color rgb="FF003300"/>
      </right>
      <top style="hair">
        <color rgb="FF003300"/>
      </top>
    </border>
    <border>
      <left style="hair">
        <color rgb="FF003300"/>
      </left>
      <right style="hair">
        <color rgb="FF003300"/>
      </right>
    </border>
    <border>
      <left style="medium">
        <color rgb="FF003300"/>
      </left>
      <right style="hair">
        <color rgb="FF003300"/>
      </right>
      <bottom style="thin">
        <color rgb="FF003300"/>
      </bottom>
    </border>
    <border>
      <left style="hair">
        <color rgb="FF003300"/>
      </left>
      <top style="hair">
        <color rgb="FF003300"/>
      </top>
      <bottom style="thin">
        <color rgb="FF003300"/>
      </bottom>
    </border>
    <border>
      <top style="hair">
        <color rgb="FF003300"/>
      </top>
      <bottom style="thin">
        <color rgb="FF003300"/>
      </bottom>
    </border>
    <border>
      <right style="hair">
        <color rgb="FF003300"/>
      </right>
      <top style="hair">
        <color rgb="FF003300"/>
      </top>
      <bottom style="thin">
        <color rgb="FF003300"/>
      </bottom>
    </border>
    <border>
      <left style="hair">
        <color rgb="FF003300"/>
      </left>
      <right style="hair">
        <color rgb="FF003300"/>
      </right>
      <bottom style="thin">
        <color rgb="FF003300"/>
      </bottom>
    </border>
    <border>
      <left style="medium">
        <color rgb="FF003300"/>
      </left>
      <right style="hair">
        <color rgb="FF003300"/>
      </right>
      <top/>
    </border>
    <border>
      <left style="hair">
        <color rgb="FF003300"/>
      </left>
      <right style="hair">
        <color rgb="FF003300"/>
      </right>
      <top style="thin">
        <color rgb="FF003300"/>
      </top>
      <bottom style="hair">
        <color rgb="FF003300"/>
      </bottom>
    </border>
    <border>
      <left style="hair">
        <color rgb="FF003300"/>
      </left>
      <right style="medium">
        <color rgb="FF000000"/>
      </right>
      <top style="thin">
        <color rgb="FF003300"/>
      </top>
    </border>
    <border>
      <left style="hair">
        <color rgb="FF003300"/>
      </left>
      <right style="medium">
        <color rgb="FF000000"/>
      </right>
    </border>
    <border>
      <left style="hair">
        <color rgb="FF003300"/>
      </left>
      <right style="medium">
        <color rgb="FF000000"/>
      </right>
      <bottom style="thin">
        <color rgb="FF003300"/>
      </bottom>
    </border>
    <border>
      <left style="medium">
        <color rgb="FF003300"/>
      </left>
      <right style="hair">
        <color rgb="FF003300"/>
      </right>
      <bottom/>
    </border>
    <border>
      <left style="hair">
        <color rgb="FF003300"/>
      </left>
      <top style="hair">
        <color rgb="FF003300"/>
      </top>
    </border>
    <border>
      <top style="hair">
        <color rgb="FF003300"/>
      </top>
    </border>
    <border>
      <right style="hair">
        <color rgb="FF003300"/>
      </right>
      <top style="hair">
        <color rgb="FF003300"/>
      </top>
    </border>
    <border>
      <left style="medium">
        <color rgb="FF003300"/>
      </left>
      <right style="hair">
        <color rgb="FF003300"/>
      </right>
      <top style="thin">
        <color rgb="FF000000"/>
      </top>
    </border>
    <border>
      <left style="hair">
        <color rgb="FF003300"/>
      </left>
      <right style="hair">
        <color rgb="FF003300"/>
      </right>
      <top style="thin">
        <color rgb="FF000000"/>
      </top>
    </border>
    <border>
      <left style="medium">
        <color rgb="FF003300"/>
      </left>
      <right style="hair">
        <color rgb="FF003300"/>
      </right>
      <bottom style="medium">
        <color rgb="FF003300"/>
      </bottom>
    </border>
    <border>
      <left style="hair">
        <color rgb="FF003300"/>
      </left>
      <top style="hair">
        <color rgb="FF003300"/>
      </top>
      <bottom style="medium">
        <color rgb="FF003300"/>
      </bottom>
    </border>
    <border>
      <right style="hair">
        <color rgb="FF003300"/>
      </right>
      <top style="hair">
        <color rgb="FF003300"/>
      </top>
      <bottom style="medium">
        <color rgb="FF003300"/>
      </bottom>
    </border>
    <border>
      <left style="hair">
        <color rgb="FF003300"/>
      </left>
      <right style="hair">
        <color rgb="FF003300"/>
      </right>
      <bottom style="medium">
        <color rgb="FF003300"/>
      </bottom>
    </border>
    <border>
      <left style="hair">
        <color rgb="FF003300"/>
      </left>
      <right style="hair">
        <color rgb="FF003300"/>
      </right>
      <bottom style="medium">
        <color rgb="FF000000"/>
      </bottom>
    </border>
    <border>
      <left style="hair">
        <color rgb="FF003300"/>
      </left>
      <right style="medium">
        <color rgb="FF000000"/>
      </right>
      <bottom style="medium">
        <color rgb="FF003300"/>
      </bottom>
    </border>
  </borders>
  <cellStyleXfs count="1">
    <xf borderId="0" fillId="0" fontId="0" numFmtId="0" applyAlignment="1" applyFont="1"/>
  </cellStyleXfs>
  <cellXfs count="102">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0"/>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horizontal="center" shrinkToFit="0" vertical="center" wrapText="0"/>
    </xf>
    <xf borderId="4" fillId="3" fontId="4" numFmtId="0" xfId="0" applyAlignment="1" applyBorder="1" applyFill="1" applyFont="1">
      <alignment horizontal="center" shrinkToFit="0" vertical="center" wrapText="0"/>
    </xf>
    <xf borderId="5" fillId="0" fontId="2" numFmtId="0" xfId="0" applyAlignment="1" applyBorder="1" applyFont="1">
      <alignment vertical="center"/>
    </xf>
    <xf borderId="6" fillId="0" fontId="3" numFmtId="0" xfId="0" applyAlignment="1" applyBorder="1" applyFont="1">
      <alignment horizontal="left" readingOrder="0" shrinkToFit="1" vertical="center" wrapText="0"/>
    </xf>
    <xf borderId="7" fillId="0" fontId="2" numFmtId="0" xfId="0" applyAlignment="1" applyBorder="1" applyFont="1">
      <alignment vertical="center"/>
    </xf>
    <xf borderId="8" fillId="3" fontId="4" numFmtId="0" xfId="0" applyAlignment="1" applyBorder="1" applyFont="1">
      <alignment horizontal="center" shrinkToFit="0" vertical="center" wrapText="0"/>
    </xf>
    <xf borderId="9" fillId="0" fontId="3" numFmtId="0" xfId="0" applyAlignment="1" applyBorder="1" applyFont="1">
      <alignment horizontal="left" readingOrder="0" shrinkToFit="0" vertical="center" wrapText="0"/>
    </xf>
    <xf borderId="10" fillId="0" fontId="2" numFmtId="0" xfId="0" applyAlignment="1" applyBorder="1" applyFont="1">
      <alignment vertical="center"/>
    </xf>
    <xf borderId="11" fillId="0" fontId="2" numFmtId="0" xfId="0" applyAlignment="1" applyBorder="1" applyFont="1">
      <alignment vertical="center"/>
    </xf>
    <xf borderId="12" fillId="3" fontId="4" numFmtId="0" xfId="0" applyAlignment="1" applyBorder="1" applyFont="1">
      <alignment horizontal="center" shrinkToFit="0" vertical="center" wrapText="0"/>
    </xf>
    <xf borderId="13" fillId="0" fontId="2" numFmtId="0" xfId="0" applyAlignment="1" applyBorder="1" applyFont="1">
      <alignment vertical="center"/>
    </xf>
    <xf borderId="14" fillId="0" fontId="3" numFmtId="0" xfId="0" applyAlignment="1" applyBorder="1" applyFont="1">
      <alignment horizontal="left" readingOrder="0" shrinkToFit="1" vertical="center" wrapText="0"/>
    </xf>
    <xf borderId="15" fillId="3" fontId="4" numFmtId="0" xfId="0" applyAlignment="1" applyBorder="1" applyFont="1">
      <alignment horizontal="center" shrinkToFit="0" vertical="center" wrapText="0"/>
    </xf>
    <xf borderId="16" fillId="0" fontId="3" numFmtId="0" xfId="0" applyAlignment="1" applyBorder="1" applyFont="1">
      <alignment horizontal="left" readingOrder="0" shrinkToFit="1" vertical="center" wrapText="0"/>
    </xf>
    <xf borderId="17" fillId="0" fontId="2" numFmtId="0" xfId="0" applyAlignment="1" applyBorder="1" applyFont="1">
      <alignment vertical="center"/>
    </xf>
    <xf borderId="18" fillId="0" fontId="2" numFmtId="0" xfId="0" applyAlignment="1" applyBorder="1" applyFont="1">
      <alignment vertical="center"/>
    </xf>
    <xf borderId="14" fillId="0" fontId="3" numFmtId="164" xfId="0" applyAlignment="1" applyBorder="1" applyFont="1" applyNumberFormat="1">
      <alignment horizontal="left" shrinkToFit="1" vertical="center" wrapText="0"/>
    </xf>
    <xf borderId="16" fillId="0" fontId="3" numFmtId="165" xfId="0" applyAlignment="1" applyBorder="1" applyFont="1" applyNumberFormat="1">
      <alignment horizontal="left" readingOrder="0" shrinkToFit="1" vertical="center" wrapText="0"/>
    </xf>
    <xf borderId="19" fillId="3" fontId="4" numFmtId="0" xfId="0" applyAlignment="1" applyBorder="1" applyFont="1">
      <alignment horizontal="center" shrinkToFit="0" vertical="center" wrapText="0"/>
    </xf>
    <xf borderId="20" fillId="0" fontId="2" numFmtId="0" xfId="0" applyAlignment="1" applyBorder="1" applyFont="1">
      <alignment vertical="center"/>
    </xf>
    <xf borderId="0" fillId="2" fontId="5" numFmtId="0" xfId="0" applyAlignment="1" applyFont="1">
      <alignment horizontal="left" readingOrder="0" vertical="center"/>
    </xf>
    <xf borderId="0" fillId="0" fontId="3" numFmtId="0" xfId="0" applyAlignment="1" applyFont="1">
      <alignment horizontal="left" shrinkToFit="0" vertical="center" wrapText="0"/>
    </xf>
    <xf borderId="7" fillId="0" fontId="3" numFmtId="0" xfId="0" applyAlignment="1" applyBorder="1" applyFont="1">
      <alignment horizontal="left" shrinkToFit="0" vertical="center" wrapText="0"/>
    </xf>
    <xf borderId="21" fillId="3" fontId="4" numFmtId="0" xfId="0" applyAlignment="1" applyBorder="1" applyFont="1">
      <alignment horizontal="center" shrinkToFit="0" vertical="center" wrapText="0"/>
    </xf>
    <xf borderId="22" fillId="0" fontId="3" numFmtId="0" xfId="0" applyAlignment="1" applyBorder="1" applyFont="1">
      <alignment horizontal="left" readingOrder="0" shrinkToFit="1" vertical="center" wrapText="0"/>
    </xf>
    <xf borderId="23" fillId="0" fontId="2" numFmtId="0" xfId="0" applyAlignment="1" applyBorder="1" applyFont="1">
      <alignment vertical="center"/>
    </xf>
    <xf borderId="24" fillId="0" fontId="2" numFmtId="0" xfId="0" applyAlignment="1" applyBorder="1" applyFont="1">
      <alignment vertical="center"/>
    </xf>
    <xf borderId="25" fillId="0" fontId="3" numFmtId="0" xfId="0" applyAlignment="1" applyBorder="1" applyFont="1">
      <alignment horizontal="center" shrinkToFit="0" vertical="center" wrapText="0"/>
    </xf>
    <xf borderId="26" fillId="3" fontId="4" numFmtId="0" xfId="0" applyAlignment="1" applyBorder="1" applyFont="1">
      <alignment horizontal="center" shrinkToFit="0" vertical="center" wrapText="0"/>
    </xf>
    <xf borderId="27" fillId="0" fontId="2" numFmtId="0" xfId="0" applyAlignment="1" applyBorder="1" applyFont="1">
      <alignment vertical="center"/>
    </xf>
    <xf borderId="28" fillId="0" fontId="3" numFmtId="0" xfId="0" applyAlignment="1" applyBorder="1" applyFont="1">
      <alignment horizontal="left" readingOrder="0" shrinkToFit="0" vertical="center" wrapText="1"/>
    </xf>
    <xf borderId="28" fillId="0" fontId="2" numFmtId="0" xfId="0" applyAlignment="1" applyBorder="1" applyFont="1">
      <alignment vertical="center"/>
    </xf>
    <xf borderId="29" fillId="0" fontId="2" numFmtId="0" xfId="0" applyAlignment="1" applyBorder="1" applyFont="1">
      <alignment vertical="center"/>
    </xf>
    <xf borderId="30" fillId="0" fontId="3" numFmtId="0" xfId="0" applyAlignment="1" applyBorder="1" applyFont="1">
      <alignment horizontal="left" readingOrder="0" shrinkToFit="0" vertical="center" wrapText="1"/>
    </xf>
    <xf borderId="31" fillId="0" fontId="2" numFmtId="0" xfId="0" applyAlignment="1" applyBorder="1" applyFont="1">
      <alignment vertical="center"/>
    </xf>
    <xf borderId="32" fillId="0" fontId="2" numFmtId="0" xfId="0" applyAlignment="1" applyBorder="1" applyFont="1">
      <alignment vertical="center"/>
    </xf>
    <xf borderId="33" fillId="3" fontId="4" numFmtId="0" xfId="0" applyAlignment="1" applyBorder="1" applyFont="1">
      <alignment horizontal="center" shrinkToFit="0" vertical="center" wrapText="0"/>
    </xf>
    <xf borderId="34" fillId="0" fontId="2" numFmtId="0" xfId="0" applyAlignment="1" applyBorder="1" applyFont="1">
      <alignment vertical="center"/>
    </xf>
    <xf borderId="35" fillId="0" fontId="6" numFmtId="0" xfId="0" applyAlignment="1" applyBorder="1" applyFont="1">
      <alignment horizontal="left" readingOrder="0" shrinkToFit="0" vertical="center" wrapText="1"/>
    </xf>
    <xf borderId="35" fillId="0" fontId="2" numFmtId="0" xfId="0" applyAlignment="1" applyBorder="1" applyFont="1">
      <alignment vertical="center"/>
    </xf>
    <xf borderId="36" fillId="0" fontId="2" numFmtId="0" xfId="0" applyAlignment="1" applyBorder="1" applyFont="1">
      <alignment vertical="center"/>
    </xf>
    <xf borderId="37" fillId="3" fontId="4" numFmtId="0" xfId="0" applyAlignment="1" applyBorder="1" applyFont="1">
      <alignment horizontal="center" shrinkToFit="0" vertical="center" wrapText="0"/>
    </xf>
    <xf borderId="38" fillId="0" fontId="2" numFmtId="0" xfId="0" applyAlignment="1" applyBorder="1" applyFont="1">
      <alignment vertical="center"/>
    </xf>
    <xf borderId="39" fillId="3" fontId="4" numFmtId="0" xfId="0" applyAlignment="1" applyBorder="1" applyFont="1">
      <alignment horizontal="center" shrinkToFit="0" vertical="center" wrapText="1"/>
    </xf>
    <xf borderId="39" fillId="3" fontId="4" numFmtId="0" xfId="0" applyAlignment="1" applyBorder="1" applyFont="1">
      <alignment horizontal="center" shrinkToFit="0" vertical="center" wrapText="0"/>
    </xf>
    <xf borderId="8" fillId="3" fontId="4" numFmtId="0" xfId="0" applyAlignment="1" applyBorder="1" applyFont="1">
      <alignment horizontal="center" shrinkToFit="0" vertical="center" wrapText="1"/>
    </xf>
    <xf borderId="40" fillId="0" fontId="2" numFmtId="0" xfId="0" applyAlignment="1" applyBorder="1" applyFont="1">
      <alignment vertical="center"/>
    </xf>
    <xf borderId="41" fillId="0" fontId="2" numFmtId="0" xfId="0" applyAlignment="1" applyBorder="1" applyFont="1">
      <alignment vertical="center"/>
    </xf>
    <xf borderId="42" fillId="0" fontId="2" numFmtId="0" xfId="0" applyAlignment="1" applyBorder="1" applyFont="1">
      <alignment vertical="center"/>
    </xf>
    <xf borderId="43" fillId="0" fontId="2" numFmtId="0" xfId="0" applyAlignment="1" applyBorder="1" applyFont="1">
      <alignment vertical="center"/>
    </xf>
    <xf borderId="44" fillId="0" fontId="2" numFmtId="0" xfId="0" applyAlignment="1" applyBorder="1" applyFont="1">
      <alignment vertical="center"/>
    </xf>
    <xf borderId="45" fillId="0" fontId="2" numFmtId="0" xfId="0" applyAlignment="1" applyBorder="1" applyFont="1">
      <alignment vertical="center"/>
    </xf>
    <xf borderId="46" fillId="3" fontId="4" numFmtId="0" xfId="0" applyAlignment="1" applyBorder="1" applyFont="1">
      <alignment horizontal="center" shrinkToFit="0" textRotation="255" vertical="top" wrapText="0"/>
    </xf>
    <xf borderId="47" fillId="3" fontId="4" numFmtId="0" xfId="0" applyAlignment="1" applyBorder="1" applyFont="1">
      <alignment horizontal="center" shrinkToFit="0" textRotation="255" vertical="top" wrapText="0"/>
    </xf>
    <xf borderId="48" fillId="3" fontId="3" numFmtId="0" xfId="0" applyAlignment="1" applyBorder="1" applyFont="1">
      <alignment horizontal="center" shrinkToFit="0" vertical="center" wrapText="0"/>
    </xf>
    <xf borderId="49" fillId="0" fontId="3" numFmtId="166" xfId="0" applyAlignment="1" applyBorder="1" applyFont="1" applyNumberFormat="1">
      <alignment horizontal="center" readingOrder="0" shrinkToFit="1" vertical="center" wrapText="0"/>
    </xf>
    <xf borderId="49" fillId="0" fontId="3" numFmtId="166" xfId="0" applyAlignment="1" applyBorder="1" applyFont="1" applyNumberFormat="1">
      <alignment horizontal="center" shrinkToFit="1" vertical="center" wrapText="0"/>
    </xf>
    <xf borderId="50" fillId="0" fontId="3" numFmtId="0" xfId="0" applyAlignment="1" applyBorder="1" applyFont="1">
      <alignment horizontal="left" readingOrder="0" shrinkToFit="1" vertical="center" wrapText="0"/>
    </xf>
    <xf borderId="51" fillId="0" fontId="3" numFmtId="0" xfId="0" applyAlignment="1" applyBorder="1" applyFont="1">
      <alignment horizontal="center" readingOrder="0" shrinkToFit="1" vertical="center" wrapText="0"/>
    </xf>
    <xf borderId="52" fillId="0" fontId="3" numFmtId="0" xfId="0" applyAlignment="1" applyBorder="1" applyFont="1">
      <alignment horizontal="center" shrinkToFit="0" vertical="center" wrapText="0"/>
    </xf>
    <xf borderId="49" fillId="0" fontId="3" numFmtId="0" xfId="0" applyAlignment="1" applyBorder="1" applyFont="1">
      <alignment horizontal="center" readingOrder="0" shrinkToFit="0" vertical="center" wrapText="1"/>
    </xf>
    <xf borderId="49" fillId="0" fontId="3" numFmtId="0" xfId="0" applyAlignment="1" applyBorder="1" applyFont="1">
      <alignment horizontal="center" readingOrder="0" shrinkToFit="1" vertical="center" wrapText="0"/>
    </xf>
    <xf borderId="53" fillId="0" fontId="2" numFmtId="0" xfId="0" applyAlignment="1" applyBorder="1" applyFont="1">
      <alignment vertical="center"/>
    </xf>
    <xf borderId="50" fillId="0" fontId="2" numFmtId="0" xfId="0" applyAlignment="1" applyBorder="1" applyFont="1">
      <alignment vertical="center"/>
    </xf>
    <xf borderId="54" fillId="0" fontId="7" numFmtId="0" xfId="0" applyAlignment="1" applyBorder="1" applyFont="1">
      <alignment horizontal="left" readingOrder="0" shrinkToFit="0" vertical="center" wrapText="1"/>
    </xf>
    <xf borderId="55" fillId="0" fontId="2" numFmtId="0" xfId="0" applyAlignment="1" applyBorder="1" applyFont="1">
      <alignment vertical="center"/>
    </xf>
    <xf borderId="55" fillId="0" fontId="3" numFmtId="0" xfId="0" applyAlignment="1" applyBorder="1" applyFont="1">
      <alignment horizontal="center" readingOrder="0" shrinkToFit="1" vertical="center" wrapText="0"/>
    </xf>
    <xf borderId="56" fillId="0" fontId="2" numFmtId="0" xfId="0" applyAlignment="1" applyBorder="1" applyFont="1">
      <alignment vertical="center"/>
    </xf>
    <xf borderId="57" fillId="0" fontId="3" numFmtId="167" xfId="0" applyAlignment="1" applyBorder="1" applyFont="1" applyNumberFormat="1">
      <alignment horizontal="center" shrinkToFit="1" vertical="center" wrapText="0"/>
    </xf>
    <xf borderId="58" fillId="0" fontId="2" numFmtId="0" xfId="0" applyAlignment="1" applyBorder="1" applyFont="1">
      <alignment vertical="center"/>
    </xf>
    <xf borderId="59" fillId="0" fontId="2" numFmtId="0" xfId="0" applyAlignment="1" applyBorder="1" applyFont="1">
      <alignment vertical="center"/>
    </xf>
    <xf borderId="60" fillId="0" fontId="2" numFmtId="0" xfId="0" applyAlignment="1" applyBorder="1" applyFont="1">
      <alignment vertical="center"/>
    </xf>
    <xf borderId="61" fillId="3" fontId="3" numFmtId="0" xfId="0" applyAlignment="1" applyBorder="1" applyFont="1">
      <alignment horizontal="center" shrinkToFit="0" vertical="center" wrapText="0"/>
    </xf>
    <xf borderId="62" fillId="0" fontId="3" numFmtId="0" xfId="0" applyAlignment="1" applyBorder="1" applyFont="1">
      <alignment horizontal="left" readingOrder="0" shrinkToFit="1" vertical="center" wrapText="0"/>
    </xf>
    <xf borderId="62" fillId="0" fontId="3" numFmtId="0" xfId="0" applyAlignment="1" applyBorder="1" applyFont="1">
      <alignment horizontal="center" shrinkToFit="0" vertical="center" wrapText="0"/>
    </xf>
    <xf borderId="49" fillId="0" fontId="3" numFmtId="0" xfId="0" applyAlignment="1" applyBorder="1" applyFont="1">
      <alignment horizontal="center" shrinkToFit="1" vertical="center" wrapText="0"/>
    </xf>
    <xf borderId="54" fillId="0" fontId="3" numFmtId="0" xfId="0" applyAlignment="1" applyBorder="1" applyFont="1">
      <alignment horizontal="left" readingOrder="0" shrinkToFit="0" vertical="center" wrapText="1"/>
    </xf>
    <xf borderId="53" fillId="3" fontId="3" numFmtId="0" xfId="0" applyAlignment="1" applyBorder="1" applyFont="1">
      <alignment horizontal="center" shrinkToFit="0" vertical="center" wrapText="0"/>
    </xf>
    <xf borderId="62" fillId="0" fontId="3" numFmtId="0" xfId="0" applyAlignment="1" applyBorder="1" applyFont="1">
      <alignment horizontal="left" shrinkToFit="1" vertical="center" wrapText="0"/>
    </xf>
    <xf borderId="49" fillId="0" fontId="3" numFmtId="0" xfId="0" applyAlignment="1" applyBorder="1" applyFont="1">
      <alignment horizontal="center" shrinkToFit="0" vertical="center" wrapText="1"/>
    </xf>
    <xf borderId="63" fillId="0" fontId="3" numFmtId="0" xfId="0" applyAlignment="1" applyBorder="1" applyFont="1">
      <alignment horizontal="center" shrinkToFit="1" vertical="center" wrapText="0"/>
    </xf>
    <xf borderId="54" fillId="0" fontId="3" numFmtId="0" xfId="0" applyAlignment="1" applyBorder="1" applyFont="1">
      <alignment horizontal="left" shrinkToFit="1" vertical="center" wrapText="0"/>
    </xf>
    <xf borderId="55" fillId="0" fontId="3" numFmtId="0" xfId="0" applyAlignment="1" applyBorder="1" applyFont="1">
      <alignment horizontal="center" shrinkToFit="1" vertical="center" wrapText="0"/>
    </xf>
    <xf borderId="64" fillId="0" fontId="2" numFmtId="0" xfId="0" applyAlignment="1" applyBorder="1" applyFont="1">
      <alignment vertical="center"/>
    </xf>
    <xf borderId="65" fillId="0" fontId="2" numFmtId="0" xfId="0" applyAlignment="1" applyBorder="1" applyFont="1">
      <alignment vertical="center"/>
    </xf>
    <xf borderId="66" fillId="0" fontId="2" numFmtId="0" xfId="0" applyAlignment="1" applyBorder="1" applyFont="1">
      <alignment vertical="center"/>
    </xf>
    <xf borderId="67" fillId="0" fontId="3" numFmtId="167" xfId="0" applyAlignment="1" applyBorder="1" applyFont="1" applyNumberFormat="1">
      <alignment horizontal="center" shrinkToFit="1" vertical="center" wrapText="0"/>
    </xf>
    <xf borderId="68" fillId="0" fontId="2" numFmtId="0" xfId="0" applyAlignment="1" applyBorder="1" applyFont="1">
      <alignment vertical="center"/>
    </xf>
    <xf borderId="69" fillId="0" fontId="2" numFmtId="0" xfId="0" applyAlignment="1" applyBorder="1" applyFont="1">
      <alignment vertical="center"/>
    </xf>
    <xf borderId="70" fillId="3" fontId="3" numFmtId="0" xfId="0" applyAlignment="1" applyBorder="1" applyFont="1">
      <alignment horizontal="center" shrinkToFit="0" vertical="center" wrapText="0"/>
    </xf>
    <xf borderId="71" fillId="0" fontId="3" numFmtId="166" xfId="0" applyAlignment="1" applyBorder="1" applyFont="1" applyNumberFormat="1">
      <alignment horizontal="center" shrinkToFit="1" vertical="center" wrapText="0"/>
    </xf>
    <xf borderId="54" fillId="0" fontId="3" numFmtId="0" xfId="0" applyAlignment="1" applyBorder="1" applyFont="1">
      <alignment horizontal="center" shrinkToFit="1" vertical="center" wrapText="0"/>
    </xf>
    <xf borderId="72" fillId="0" fontId="2" numFmtId="0" xfId="0" applyAlignment="1" applyBorder="1" applyFont="1">
      <alignment vertical="center"/>
    </xf>
    <xf borderId="73" fillId="0" fontId="3" numFmtId="167" xfId="0" applyAlignment="1" applyBorder="1" applyFont="1" applyNumberFormat="1">
      <alignment horizontal="center" shrinkToFit="1" vertical="center" wrapText="0"/>
    </xf>
    <xf borderId="74" fillId="0" fontId="2" numFmtId="0" xfId="0" applyAlignment="1" applyBorder="1" applyFont="1">
      <alignment vertical="center"/>
    </xf>
    <xf borderId="75" fillId="0" fontId="2" numFmtId="0" xfId="0" applyAlignment="1" applyBorder="1" applyFont="1">
      <alignment vertical="center"/>
    </xf>
    <xf borderId="76" fillId="0" fontId="2" numFmtId="0" xfId="0" applyAlignment="1" applyBorder="1" applyFont="1">
      <alignment vertical="center"/>
    </xf>
    <xf borderId="77" fillId="0" fontId="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54</xdr:row>
      <xdr:rowOff>209550</xdr:rowOff>
    </xdr:from>
    <xdr:ext cx="13315950" cy="2009775"/>
    <xdr:sp>
      <xdr:nvSpPr>
        <xdr:cNvPr id="3" name="Shape 3"/>
        <xdr:cNvSpPr/>
      </xdr:nvSpPr>
      <xdr:spPr>
        <a:xfrm>
          <a:off x="0" y="2789400"/>
          <a:ext cx="10692000" cy="1981200"/>
        </a:xfrm>
        <a:prstGeom prst="rect">
          <a:avLst/>
        </a:prstGeom>
        <a:noFill/>
        <a:ln cap="flat" cmpd="sng" w="28575">
          <a:solidFill>
            <a:schemeClr val="hlink"/>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ajapan.org/osp/menu04.html" TargetMode="External"/><Relationship Id="rId2" Type="http://schemas.openxmlformats.org/officeDocument/2006/relationships/hyperlink" Target="https://www.starship.jp/?ref=skills" TargetMode="External"/><Relationship Id="rId3" Type="http://schemas.openxmlformats.org/officeDocument/2006/relationships/hyperlink" Target="https://www.tcpdetective.com/?ref=skills" TargetMode="External"/><Relationship Id="rId4" Type="http://schemas.openxmlformats.org/officeDocument/2006/relationships/hyperlink" Target="https://www.starship.jp/"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2.13"/>
    <col customWidth="1" min="3" max="3" width="2.5"/>
    <col customWidth="1" min="4" max="4" width="12.13"/>
    <col customWidth="1" min="5" max="5" width="71.75"/>
    <col customWidth="1" min="6" max="7" width="8.0"/>
    <col customWidth="1" min="8" max="8" width="12.63"/>
    <col customWidth="1" min="9" max="9" width="12.38"/>
    <col customWidth="1" min="10" max="10" width="10.63"/>
    <col customWidth="1" min="11" max="11" width="8.63"/>
    <col customWidth="1" min="12" max="18" width="3.63"/>
    <col customWidth="1" min="19" max="19" width="9.0"/>
    <col customWidth="1" min="20" max="26" width="10.0"/>
  </cols>
  <sheetData>
    <row r="1" ht="34.5" customHeight="1">
      <c r="A1" s="1" t="s">
        <v>0</v>
      </c>
      <c r="B1" s="2"/>
      <c r="C1" s="2"/>
      <c r="D1" s="2"/>
      <c r="E1" s="2"/>
      <c r="F1" s="2"/>
      <c r="G1" s="2"/>
      <c r="H1" s="2"/>
      <c r="I1" s="2"/>
      <c r="J1" s="2"/>
      <c r="K1" s="2"/>
      <c r="L1" s="2"/>
      <c r="M1" s="2"/>
      <c r="N1" s="2"/>
      <c r="O1" s="2"/>
      <c r="P1" s="2"/>
      <c r="Q1" s="2"/>
      <c r="R1" s="3"/>
      <c r="S1" s="4"/>
      <c r="T1" s="4"/>
      <c r="U1" s="4"/>
      <c r="V1" s="4"/>
      <c r="W1" s="4"/>
      <c r="X1" s="4"/>
      <c r="Y1" s="4"/>
      <c r="Z1" s="4"/>
    </row>
    <row r="2" ht="20.25" customHeight="1">
      <c r="A2" s="5" t="s">
        <v>1</v>
      </c>
      <c r="B2" s="6"/>
      <c r="C2" s="7" t="s">
        <v>2</v>
      </c>
      <c r="F2" s="8"/>
      <c r="G2" s="9" t="s">
        <v>3</v>
      </c>
      <c r="H2" s="6"/>
      <c r="I2" s="10" t="s">
        <v>4</v>
      </c>
      <c r="J2" s="11"/>
      <c r="K2" s="11"/>
      <c r="L2" s="11"/>
      <c r="M2" s="11"/>
      <c r="N2" s="11"/>
      <c r="O2" s="11"/>
      <c r="P2" s="11"/>
      <c r="Q2" s="11"/>
      <c r="R2" s="12"/>
      <c r="S2" s="4"/>
      <c r="T2" s="4"/>
      <c r="U2" s="4"/>
      <c r="V2" s="4"/>
      <c r="W2" s="4"/>
      <c r="X2" s="4"/>
      <c r="Y2" s="4"/>
      <c r="Z2" s="4"/>
    </row>
    <row r="3" ht="20.25" customHeight="1">
      <c r="A3" s="13" t="s">
        <v>5</v>
      </c>
      <c r="B3" s="14"/>
      <c r="C3" s="15" t="s">
        <v>6</v>
      </c>
      <c r="F3" s="8"/>
      <c r="G3" s="16" t="s">
        <v>7</v>
      </c>
      <c r="H3" s="14"/>
      <c r="I3" s="17" t="s">
        <v>8</v>
      </c>
      <c r="J3" s="18"/>
      <c r="K3" s="18"/>
      <c r="L3" s="18"/>
      <c r="M3" s="18"/>
      <c r="N3" s="18"/>
      <c r="O3" s="18"/>
      <c r="P3" s="18"/>
      <c r="Q3" s="18"/>
      <c r="R3" s="19"/>
      <c r="S3" s="4"/>
      <c r="T3" s="4"/>
      <c r="U3" s="4"/>
      <c r="V3" s="4"/>
      <c r="W3" s="4"/>
      <c r="X3" s="4"/>
      <c r="Y3" s="4"/>
      <c r="Z3" s="4"/>
    </row>
    <row r="4" ht="20.25" customHeight="1">
      <c r="A4" s="13" t="s">
        <v>9</v>
      </c>
      <c r="B4" s="14"/>
      <c r="C4" s="20"/>
      <c r="F4" s="8"/>
      <c r="G4" s="16" t="s">
        <v>10</v>
      </c>
      <c r="H4" s="14"/>
      <c r="I4" s="21" t="s">
        <v>11</v>
      </c>
      <c r="J4" s="18"/>
      <c r="K4" s="18"/>
      <c r="L4" s="18"/>
      <c r="M4" s="18"/>
      <c r="N4" s="18"/>
      <c r="O4" s="18"/>
      <c r="P4" s="18"/>
      <c r="Q4" s="18"/>
      <c r="R4" s="19"/>
      <c r="S4" s="4"/>
      <c r="T4" s="4"/>
      <c r="U4" s="4"/>
      <c r="V4" s="4"/>
      <c r="W4" s="4"/>
      <c r="X4" s="4"/>
      <c r="Y4" s="4"/>
      <c r="Z4" s="4"/>
    </row>
    <row r="5" ht="20.25" customHeight="1">
      <c r="A5" s="22" t="s">
        <v>12</v>
      </c>
      <c r="B5" s="23"/>
      <c r="C5" s="24" t="s">
        <v>13</v>
      </c>
      <c r="D5" s="25"/>
      <c r="E5" s="25"/>
      <c r="F5" s="26"/>
      <c r="G5" s="27" t="s">
        <v>14</v>
      </c>
      <c r="H5" s="23"/>
      <c r="I5" s="28" t="s">
        <v>15</v>
      </c>
      <c r="J5" s="29"/>
      <c r="K5" s="29"/>
      <c r="L5" s="29"/>
      <c r="M5" s="29"/>
      <c r="N5" s="29"/>
      <c r="O5" s="29"/>
      <c r="P5" s="29"/>
      <c r="Q5" s="29"/>
      <c r="R5" s="30"/>
      <c r="S5" s="31"/>
      <c r="T5" s="4"/>
      <c r="U5" s="4"/>
      <c r="V5" s="4"/>
      <c r="W5" s="4"/>
      <c r="X5" s="4"/>
      <c r="Y5" s="4"/>
      <c r="Z5" s="4"/>
    </row>
    <row r="6" ht="150.75" customHeight="1">
      <c r="A6" s="32" t="s">
        <v>16</v>
      </c>
      <c r="B6" s="33"/>
      <c r="C6" s="34" t="s">
        <v>17</v>
      </c>
      <c r="D6" s="35"/>
      <c r="E6" s="35"/>
      <c r="F6" s="35"/>
      <c r="G6" s="35"/>
      <c r="H6" s="35"/>
      <c r="I6" s="35"/>
      <c r="J6" s="35"/>
      <c r="K6" s="35"/>
      <c r="L6" s="35"/>
      <c r="M6" s="35"/>
      <c r="N6" s="35"/>
      <c r="O6" s="35"/>
      <c r="P6" s="35"/>
      <c r="Q6" s="35"/>
      <c r="R6" s="36"/>
      <c r="S6" s="4"/>
      <c r="T6" s="4"/>
      <c r="U6" s="4"/>
      <c r="V6" s="4"/>
      <c r="W6" s="4"/>
      <c r="X6" s="4"/>
      <c r="Y6" s="4"/>
      <c r="Z6" s="4"/>
    </row>
    <row r="7" ht="20.25" customHeight="1">
      <c r="A7" s="22" t="s">
        <v>18</v>
      </c>
      <c r="B7" s="23"/>
      <c r="C7" s="37" t="s">
        <v>19</v>
      </c>
      <c r="D7" s="38"/>
      <c r="E7" s="38"/>
      <c r="F7" s="38"/>
      <c r="G7" s="38"/>
      <c r="H7" s="38"/>
      <c r="I7" s="38"/>
      <c r="J7" s="38"/>
      <c r="K7" s="38"/>
      <c r="L7" s="38"/>
      <c r="M7" s="38"/>
      <c r="N7" s="38"/>
      <c r="O7" s="38"/>
      <c r="P7" s="38"/>
      <c r="Q7" s="38"/>
      <c r="R7" s="39"/>
      <c r="S7" s="4"/>
      <c r="T7" s="4"/>
      <c r="U7" s="4"/>
      <c r="V7" s="4"/>
      <c r="W7" s="4"/>
      <c r="X7" s="4"/>
      <c r="Y7" s="4"/>
      <c r="Z7" s="4"/>
    </row>
    <row r="8" ht="426.75" customHeight="1">
      <c r="A8" s="40" t="s">
        <v>20</v>
      </c>
      <c r="B8" s="41"/>
      <c r="C8" s="42" t="s">
        <v>21</v>
      </c>
      <c r="D8" s="43"/>
      <c r="E8" s="43"/>
      <c r="F8" s="43"/>
      <c r="G8" s="43"/>
      <c r="H8" s="43"/>
      <c r="I8" s="43"/>
      <c r="J8" s="43"/>
      <c r="K8" s="43"/>
      <c r="L8" s="43"/>
      <c r="M8" s="43"/>
      <c r="N8" s="43"/>
      <c r="O8" s="43"/>
      <c r="P8" s="43"/>
      <c r="Q8" s="43"/>
      <c r="R8" s="44"/>
      <c r="S8" s="4"/>
      <c r="T8" s="4"/>
      <c r="U8" s="4"/>
      <c r="V8" s="4"/>
      <c r="W8" s="4"/>
      <c r="X8" s="4"/>
      <c r="Y8" s="4"/>
      <c r="Z8" s="4"/>
    </row>
    <row r="9" ht="20.25" customHeight="1">
      <c r="A9" s="45" t="s">
        <v>22</v>
      </c>
      <c r="B9" s="35"/>
      <c r="C9" s="35"/>
      <c r="D9" s="46"/>
      <c r="E9" s="47" t="s">
        <v>23</v>
      </c>
      <c r="F9" s="47" t="s">
        <v>24</v>
      </c>
      <c r="G9" s="47" t="s">
        <v>25</v>
      </c>
      <c r="H9" s="48" t="s">
        <v>26</v>
      </c>
      <c r="I9" s="48" t="s">
        <v>27</v>
      </c>
      <c r="J9" s="48" t="s">
        <v>28</v>
      </c>
      <c r="K9" s="47" t="s">
        <v>29</v>
      </c>
      <c r="L9" s="49" t="s">
        <v>30</v>
      </c>
      <c r="M9" s="50"/>
      <c r="N9" s="50"/>
      <c r="O9" s="50"/>
      <c r="P9" s="50"/>
      <c r="Q9" s="50"/>
      <c r="R9" s="51"/>
      <c r="S9" s="4"/>
      <c r="T9" s="4"/>
      <c r="U9" s="4"/>
      <c r="V9" s="4"/>
      <c r="W9" s="4"/>
      <c r="X9" s="4"/>
      <c r="Y9" s="4"/>
      <c r="Z9" s="4"/>
    </row>
    <row r="10" ht="88.5" customHeight="1">
      <c r="A10" s="52"/>
      <c r="B10" s="53"/>
      <c r="C10" s="53"/>
      <c r="D10" s="54"/>
      <c r="E10" s="55"/>
      <c r="F10" s="55"/>
      <c r="G10" s="55"/>
      <c r="H10" s="55"/>
      <c r="I10" s="55"/>
      <c r="J10" s="55"/>
      <c r="K10" s="55"/>
      <c r="L10" s="56" t="s">
        <v>31</v>
      </c>
      <c r="M10" s="56" t="s">
        <v>32</v>
      </c>
      <c r="N10" s="56" t="s">
        <v>33</v>
      </c>
      <c r="O10" s="56" t="s">
        <v>34</v>
      </c>
      <c r="P10" s="56" t="s">
        <v>35</v>
      </c>
      <c r="Q10" s="56" t="s">
        <v>36</v>
      </c>
      <c r="R10" s="57" t="s">
        <v>37</v>
      </c>
      <c r="S10" s="4"/>
      <c r="T10" s="4"/>
      <c r="U10" s="4"/>
      <c r="V10" s="4"/>
      <c r="W10" s="4"/>
      <c r="X10" s="4"/>
      <c r="Y10" s="4"/>
      <c r="Z10" s="4"/>
    </row>
    <row r="11" ht="20.25" customHeight="1">
      <c r="A11" s="58">
        <v>1.0</v>
      </c>
      <c r="B11" s="59">
        <v>44927.0</v>
      </c>
      <c r="C11" s="60" t="s">
        <v>38</v>
      </c>
      <c r="D11" s="59">
        <v>45108.0</v>
      </c>
      <c r="E11" s="61" t="s">
        <v>39</v>
      </c>
      <c r="F11" s="62" t="s">
        <v>40</v>
      </c>
      <c r="G11" s="63"/>
      <c r="H11" s="64" t="s">
        <v>41</v>
      </c>
      <c r="I11" s="65" t="s">
        <v>42</v>
      </c>
      <c r="J11" s="65" t="s">
        <v>43</v>
      </c>
      <c r="K11" s="65" t="s">
        <v>44</v>
      </c>
      <c r="L11" s="65" t="s">
        <v>45</v>
      </c>
      <c r="M11" s="65" t="s">
        <v>45</v>
      </c>
      <c r="N11" s="65" t="s">
        <v>45</v>
      </c>
      <c r="O11" s="65" t="s">
        <v>45</v>
      </c>
      <c r="P11" s="65" t="s">
        <v>45</v>
      </c>
      <c r="Q11" s="65" t="s">
        <v>45</v>
      </c>
      <c r="R11" s="65" t="s">
        <v>45</v>
      </c>
      <c r="S11" s="4"/>
      <c r="T11" s="4"/>
      <c r="U11" s="4"/>
      <c r="V11" s="4"/>
      <c r="W11" s="4"/>
      <c r="X11" s="4"/>
      <c r="Y11" s="4"/>
      <c r="Z11" s="4"/>
    </row>
    <row r="12" ht="111.0" customHeight="1">
      <c r="A12" s="66"/>
      <c r="B12" s="67"/>
      <c r="C12" s="67"/>
      <c r="D12" s="67"/>
      <c r="E12" s="68" t="s">
        <v>46</v>
      </c>
      <c r="F12" s="69"/>
      <c r="G12" s="70" t="s">
        <v>47</v>
      </c>
      <c r="H12" s="69"/>
      <c r="I12" s="69"/>
      <c r="J12" s="69"/>
      <c r="K12" s="69"/>
      <c r="L12" s="69"/>
      <c r="M12" s="69"/>
      <c r="N12" s="69"/>
      <c r="O12" s="69"/>
      <c r="P12" s="69"/>
      <c r="Q12" s="69"/>
      <c r="R12" s="69"/>
      <c r="S12" s="4"/>
      <c r="T12" s="4"/>
      <c r="U12" s="4"/>
      <c r="V12" s="4"/>
      <c r="W12" s="4"/>
      <c r="X12" s="4"/>
      <c r="Y12" s="4"/>
      <c r="Z12" s="4"/>
    </row>
    <row r="13" ht="72.75" customHeight="1">
      <c r="A13" s="71"/>
      <c r="B13" s="72">
        <f>DATEDIF(B11,D11,"M")+1</f>
        <v>7</v>
      </c>
      <c r="C13" s="73"/>
      <c r="D13" s="74"/>
      <c r="E13" s="75"/>
      <c r="F13" s="75"/>
      <c r="G13" s="69"/>
      <c r="H13" s="75"/>
      <c r="I13" s="75"/>
      <c r="J13" s="75"/>
      <c r="K13" s="75"/>
      <c r="L13" s="75"/>
      <c r="M13" s="75"/>
      <c r="N13" s="75"/>
      <c r="O13" s="75"/>
      <c r="P13" s="75"/>
      <c r="Q13" s="75"/>
      <c r="R13" s="75"/>
      <c r="S13" s="4"/>
      <c r="T13" s="4"/>
      <c r="U13" s="4"/>
      <c r="V13" s="4"/>
      <c r="W13" s="4"/>
      <c r="X13" s="4"/>
      <c r="Y13" s="4"/>
      <c r="Z13" s="4"/>
    </row>
    <row r="14" ht="20.25" customHeight="1">
      <c r="A14" s="76">
        <f>A11+1</f>
        <v>2</v>
      </c>
      <c r="B14" s="59">
        <v>44743.0</v>
      </c>
      <c r="C14" s="60" t="s">
        <v>38</v>
      </c>
      <c r="D14" s="59">
        <v>45108.0</v>
      </c>
      <c r="E14" s="77" t="s">
        <v>48</v>
      </c>
      <c r="F14" s="62" t="s">
        <v>40</v>
      </c>
      <c r="G14" s="78"/>
      <c r="H14" s="64" t="s">
        <v>49</v>
      </c>
      <c r="I14" s="65" t="s">
        <v>42</v>
      </c>
      <c r="J14" s="65" t="s">
        <v>43</v>
      </c>
      <c r="K14" s="65" t="s">
        <v>50</v>
      </c>
      <c r="L14" s="65" t="s">
        <v>45</v>
      </c>
      <c r="M14" s="65" t="s">
        <v>45</v>
      </c>
      <c r="N14" s="65" t="s">
        <v>45</v>
      </c>
      <c r="O14" s="65" t="s">
        <v>45</v>
      </c>
      <c r="P14" s="65" t="s">
        <v>45</v>
      </c>
      <c r="Q14" s="65" t="s">
        <v>45</v>
      </c>
      <c r="R14" s="65" t="s">
        <v>45</v>
      </c>
      <c r="S14" s="4"/>
      <c r="T14" s="4"/>
      <c r="U14" s="4"/>
      <c r="V14" s="4"/>
      <c r="W14" s="4"/>
      <c r="X14" s="4"/>
      <c r="Y14" s="4"/>
      <c r="Z14" s="4"/>
    </row>
    <row r="15" ht="111.0" customHeight="1">
      <c r="A15" s="66"/>
      <c r="B15" s="67"/>
      <c r="C15" s="67"/>
      <c r="D15" s="67"/>
      <c r="E15" s="68" t="s">
        <v>51</v>
      </c>
      <c r="F15" s="69"/>
      <c r="G15" s="70" t="s">
        <v>47</v>
      </c>
      <c r="H15" s="69"/>
      <c r="I15" s="69"/>
      <c r="J15" s="69"/>
      <c r="K15" s="69"/>
      <c r="L15" s="69"/>
      <c r="M15" s="69"/>
      <c r="N15" s="69"/>
      <c r="O15" s="69"/>
      <c r="P15" s="69"/>
      <c r="Q15" s="69"/>
      <c r="R15" s="69"/>
      <c r="S15" s="4"/>
      <c r="T15" s="4"/>
      <c r="U15" s="4"/>
      <c r="V15" s="4"/>
      <c r="W15" s="4"/>
      <c r="X15" s="4"/>
      <c r="Y15" s="4"/>
      <c r="Z15" s="4"/>
    </row>
    <row r="16" ht="55.5" customHeight="1">
      <c r="A16" s="71"/>
      <c r="B16" s="72">
        <f>DATEDIF(B14,D14,"M")+1</f>
        <v>13</v>
      </c>
      <c r="C16" s="73"/>
      <c r="D16" s="74"/>
      <c r="E16" s="75"/>
      <c r="F16" s="75"/>
      <c r="G16" s="69"/>
      <c r="H16" s="75"/>
      <c r="I16" s="75"/>
      <c r="J16" s="75"/>
      <c r="K16" s="75"/>
      <c r="L16" s="75"/>
      <c r="M16" s="75"/>
      <c r="N16" s="75"/>
      <c r="O16" s="75"/>
      <c r="P16" s="75"/>
      <c r="Q16" s="75"/>
      <c r="R16" s="75"/>
      <c r="S16" s="4"/>
      <c r="T16" s="4"/>
      <c r="U16" s="4"/>
      <c r="V16" s="4"/>
      <c r="W16" s="4"/>
      <c r="X16" s="4"/>
      <c r="Y16" s="4"/>
      <c r="Z16" s="4"/>
    </row>
    <row r="17" ht="20.25" customHeight="1">
      <c r="A17" s="76">
        <f>A14+1</f>
        <v>3</v>
      </c>
      <c r="B17" s="59">
        <v>40210.0</v>
      </c>
      <c r="C17" s="60" t="s">
        <v>38</v>
      </c>
      <c r="D17" s="59">
        <v>44743.0</v>
      </c>
      <c r="E17" s="77" t="s">
        <v>52</v>
      </c>
      <c r="F17" s="62" t="s">
        <v>40</v>
      </c>
      <c r="G17" s="78"/>
      <c r="H17" s="64" t="s">
        <v>41</v>
      </c>
      <c r="I17" s="65" t="s">
        <v>42</v>
      </c>
      <c r="J17" s="65" t="s">
        <v>43</v>
      </c>
      <c r="K17" s="65" t="s">
        <v>50</v>
      </c>
      <c r="L17" s="65" t="s">
        <v>45</v>
      </c>
      <c r="M17" s="65" t="s">
        <v>45</v>
      </c>
      <c r="N17" s="65" t="s">
        <v>45</v>
      </c>
      <c r="O17" s="65" t="s">
        <v>45</v>
      </c>
      <c r="P17" s="65" t="s">
        <v>45</v>
      </c>
      <c r="Q17" s="65" t="s">
        <v>45</v>
      </c>
      <c r="R17" s="65" t="s">
        <v>45</v>
      </c>
      <c r="S17" s="4"/>
      <c r="T17" s="4"/>
      <c r="U17" s="4"/>
      <c r="V17" s="4"/>
      <c r="W17" s="4"/>
      <c r="X17" s="4"/>
      <c r="Y17" s="4"/>
      <c r="Z17" s="4"/>
    </row>
    <row r="18" ht="111.0" customHeight="1">
      <c r="A18" s="66"/>
      <c r="B18" s="67"/>
      <c r="C18" s="67"/>
      <c r="D18" s="67"/>
      <c r="E18" s="68" t="s">
        <v>53</v>
      </c>
      <c r="F18" s="69"/>
      <c r="G18" s="70" t="s">
        <v>54</v>
      </c>
      <c r="H18" s="69"/>
      <c r="I18" s="69"/>
      <c r="J18" s="69"/>
      <c r="K18" s="69"/>
      <c r="L18" s="69"/>
      <c r="M18" s="69"/>
      <c r="N18" s="69"/>
      <c r="O18" s="69"/>
      <c r="P18" s="69"/>
      <c r="Q18" s="69"/>
      <c r="R18" s="69"/>
      <c r="S18" s="4"/>
      <c r="T18" s="4"/>
      <c r="U18" s="4"/>
      <c r="V18" s="4"/>
      <c r="W18" s="4"/>
      <c r="X18" s="4"/>
      <c r="Y18" s="4"/>
      <c r="Z18" s="4"/>
    </row>
    <row r="19" ht="184.5" customHeight="1">
      <c r="A19" s="71"/>
      <c r="B19" s="72">
        <f>DATEDIF(B17,D17,"M")+1</f>
        <v>150</v>
      </c>
      <c r="C19" s="73"/>
      <c r="D19" s="74"/>
      <c r="E19" s="75"/>
      <c r="F19" s="75"/>
      <c r="G19" s="75"/>
      <c r="H19" s="75"/>
      <c r="I19" s="75"/>
      <c r="J19" s="75"/>
      <c r="K19" s="75"/>
      <c r="L19" s="75"/>
      <c r="M19" s="75"/>
      <c r="N19" s="75"/>
      <c r="O19" s="75"/>
      <c r="P19" s="75"/>
      <c r="Q19" s="75"/>
      <c r="R19" s="75"/>
      <c r="S19" s="4"/>
      <c r="T19" s="4"/>
      <c r="U19" s="4"/>
      <c r="V19" s="4"/>
      <c r="W19" s="4"/>
      <c r="X19" s="4"/>
      <c r="Y19" s="4"/>
      <c r="Z19" s="4"/>
    </row>
    <row r="20" ht="20.25" customHeight="1">
      <c r="A20" s="76">
        <f>A17+1</f>
        <v>4</v>
      </c>
      <c r="B20" s="59">
        <v>36617.0</v>
      </c>
      <c r="C20" s="60" t="s">
        <v>38</v>
      </c>
      <c r="D20" s="59">
        <v>39845.0</v>
      </c>
      <c r="E20" s="77" t="s">
        <v>55</v>
      </c>
      <c r="F20" s="62" t="s">
        <v>40</v>
      </c>
      <c r="G20" s="78"/>
      <c r="H20" s="64" t="s">
        <v>56</v>
      </c>
      <c r="I20" s="79"/>
      <c r="J20" s="64" t="s">
        <v>57</v>
      </c>
      <c r="K20" s="65" t="s">
        <v>50</v>
      </c>
      <c r="L20" s="65" t="s">
        <v>45</v>
      </c>
      <c r="M20" s="65" t="s">
        <v>45</v>
      </c>
      <c r="N20" s="65" t="s">
        <v>45</v>
      </c>
      <c r="O20" s="65" t="s">
        <v>45</v>
      </c>
      <c r="P20" s="65" t="s">
        <v>45</v>
      </c>
      <c r="Q20" s="65" t="s">
        <v>45</v>
      </c>
      <c r="R20" s="65" t="s">
        <v>45</v>
      </c>
      <c r="S20" s="4"/>
      <c r="T20" s="4"/>
      <c r="U20" s="4"/>
      <c r="V20" s="4"/>
      <c r="W20" s="4"/>
      <c r="X20" s="4"/>
      <c r="Y20" s="4"/>
      <c r="Z20" s="4"/>
    </row>
    <row r="21" ht="111.0" customHeight="1">
      <c r="A21" s="66"/>
      <c r="B21" s="67"/>
      <c r="C21" s="67"/>
      <c r="D21" s="67"/>
      <c r="E21" s="80" t="s">
        <v>58</v>
      </c>
      <c r="F21" s="69"/>
      <c r="G21" s="70" t="s">
        <v>59</v>
      </c>
      <c r="H21" s="69"/>
      <c r="I21" s="69"/>
      <c r="J21" s="69"/>
      <c r="K21" s="69"/>
      <c r="L21" s="69"/>
      <c r="M21" s="69"/>
      <c r="N21" s="69"/>
      <c r="O21" s="69"/>
      <c r="P21" s="69"/>
      <c r="Q21" s="69"/>
      <c r="R21" s="69"/>
      <c r="S21" s="4"/>
      <c r="T21" s="4"/>
      <c r="U21" s="4"/>
      <c r="V21" s="4"/>
      <c r="W21" s="4"/>
      <c r="X21" s="4"/>
      <c r="Y21" s="4"/>
      <c r="Z21" s="4"/>
    </row>
    <row r="22" ht="162.0" customHeight="1">
      <c r="A22" s="71"/>
      <c r="B22" s="72">
        <f>DATEDIF(B20,D20,"M")+1</f>
        <v>107</v>
      </c>
      <c r="C22" s="73"/>
      <c r="D22" s="74"/>
      <c r="E22" s="75"/>
      <c r="F22" s="75"/>
      <c r="G22" s="75"/>
      <c r="H22" s="75"/>
      <c r="I22" s="75"/>
      <c r="J22" s="75"/>
      <c r="K22" s="75"/>
      <c r="L22" s="75"/>
      <c r="M22" s="75"/>
      <c r="N22" s="75"/>
      <c r="O22" s="75"/>
      <c r="P22" s="75"/>
      <c r="Q22" s="75"/>
      <c r="R22" s="75"/>
      <c r="S22" s="4"/>
      <c r="T22" s="4"/>
      <c r="U22" s="4"/>
      <c r="V22" s="4"/>
      <c r="W22" s="4"/>
      <c r="X22" s="4"/>
      <c r="Y22" s="4"/>
      <c r="Z22" s="4"/>
    </row>
    <row r="23" ht="20.25" customHeight="1">
      <c r="A23" s="76">
        <f>A20+1</f>
        <v>5</v>
      </c>
      <c r="B23" s="59">
        <v>31138.0</v>
      </c>
      <c r="C23" s="60" t="s">
        <v>38</v>
      </c>
      <c r="D23" s="59">
        <v>36586.0</v>
      </c>
      <c r="E23" s="77" t="s">
        <v>60</v>
      </c>
      <c r="F23" s="62" t="s">
        <v>40</v>
      </c>
      <c r="G23" s="78"/>
      <c r="H23" s="64" t="s">
        <v>61</v>
      </c>
      <c r="I23" s="79"/>
      <c r="J23" s="64" t="s">
        <v>62</v>
      </c>
      <c r="K23" s="79"/>
      <c r="L23" s="65" t="s">
        <v>45</v>
      </c>
      <c r="M23" s="65" t="s">
        <v>45</v>
      </c>
      <c r="N23" s="65" t="s">
        <v>45</v>
      </c>
      <c r="O23" s="65" t="s">
        <v>45</v>
      </c>
      <c r="P23" s="65" t="s">
        <v>45</v>
      </c>
      <c r="Q23" s="65" t="s">
        <v>45</v>
      </c>
      <c r="R23" s="65" t="s">
        <v>45</v>
      </c>
      <c r="S23" s="4"/>
      <c r="T23" s="4"/>
      <c r="U23" s="4"/>
      <c r="V23" s="4"/>
      <c r="W23" s="4"/>
      <c r="X23" s="4"/>
      <c r="Y23" s="4"/>
      <c r="Z23" s="4"/>
    </row>
    <row r="24" ht="111.0" customHeight="1">
      <c r="A24" s="66"/>
      <c r="B24" s="67"/>
      <c r="C24" s="67"/>
      <c r="D24" s="67"/>
      <c r="E24" s="80" t="s">
        <v>63</v>
      </c>
      <c r="F24" s="69"/>
      <c r="G24" s="70" t="s">
        <v>59</v>
      </c>
      <c r="H24" s="69"/>
      <c r="I24" s="69"/>
      <c r="J24" s="69"/>
      <c r="K24" s="69"/>
      <c r="L24" s="69"/>
      <c r="M24" s="69"/>
      <c r="N24" s="69"/>
      <c r="O24" s="69"/>
      <c r="P24" s="69"/>
      <c r="Q24" s="69"/>
      <c r="R24" s="69"/>
      <c r="S24" s="4"/>
      <c r="T24" s="4"/>
      <c r="U24" s="4"/>
      <c r="V24" s="4"/>
      <c r="W24" s="4"/>
      <c r="X24" s="4"/>
      <c r="Y24" s="4"/>
      <c r="Z24" s="4"/>
    </row>
    <row r="25" ht="125.25" customHeight="1">
      <c r="A25" s="71"/>
      <c r="B25" s="72">
        <f>DATEDIF(B23,D23,"M")+1</f>
        <v>180</v>
      </c>
      <c r="C25" s="73"/>
      <c r="D25" s="74"/>
      <c r="E25" s="75"/>
      <c r="F25" s="75"/>
      <c r="G25" s="75"/>
      <c r="H25" s="75"/>
      <c r="I25" s="75"/>
      <c r="J25" s="75"/>
      <c r="K25" s="75"/>
      <c r="L25" s="75"/>
      <c r="M25" s="75"/>
      <c r="N25" s="75"/>
      <c r="O25" s="75"/>
      <c r="P25" s="75"/>
      <c r="Q25" s="75"/>
      <c r="R25" s="75"/>
      <c r="S25" s="4"/>
      <c r="T25" s="4"/>
      <c r="U25" s="4"/>
      <c r="V25" s="4"/>
      <c r="W25" s="4"/>
      <c r="X25" s="4"/>
      <c r="Y25" s="4"/>
      <c r="Z25" s="4"/>
    </row>
    <row r="26" ht="20.25" customHeight="1">
      <c r="A26" s="81">
        <f>A23+1</f>
        <v>6</v>
      </c>
      <c r="B26" s="59">
        <v>30407.0</v>
      </c>
      <c r="C26" s="60" t="s">
        <v>38</v>
      </c>
      <c r="D26" s="59">
        <v>31107.0</v>
      </c>
      <c r="E26" s="77" t="s">
        <v>60</v>
      </c>
      <c r="F26" s="79"/>
      <c r="G26" s="78"/>
      <c r="H26" s="64" t="s">
        <v>64</v>
      </c>
      <c r="I26" s="79"/>
      <c r="J26" s="65" t="s">
        <v>65</v>
      </c>
      <c r="K26" s="79"/>
      <c r="L26" s="79"/>
      <c r="M26" s="79"/>
      <c r="N26" s="65" t="s">
        <v>45</v>
      </c>
      <c r="O26" s="65" t="s">
        <v>45</v>
      </c>
      <c r="P26" s="65" t="s">
        <v>45</v>
      </c>
      <c r="Q26" s="65" t="s">
        <v>45</v>
      </c>
      <c r="R26" s="65" t="s">
        <v>45</v>
      </c>
      <c r="S26" s="4"/>
      <c r="T26" s="4"/>
      <c r="U26" s="4"/>
      <c r="V26" s="4"/>
      <c r="W26" s="4"/>
      <c r="X26" s="4"/>
      <c r="Y26" s="4"/>
      <c r="Z26" s="4"/>
    </row>
    <row r="27" ht="111.0" customHeight="1">
      <c r="A27" s="66"/>
      <c r="B27" s="67"/>
      <c r="C27" s="67"/>
      <c r="D27" s="67"/>
      <c r="E27" s="80" t="s">
        <v>66</v>
      </c>
      <c r="F27" s="69"/>
      <c r="G27" s="70" t="s">
        <v>67</v>
      </c>
      <c r="H27" s="69"/>
      <c r="I27" s="69"/>
      <c r="J27" s="69"/>
      <c r="K27" s="69"/>
      <c r="L27" s="69"/>
      <c r="M27" s="69"/>
      <c r="N27" s="69"/>
      <c r="O27" s="69"/>
      <c r="P27" s="69"/>
      <c r="Q27" s="69"/>
      <c r="R27" s="69"/>
      <c r="S27" s="4"/>
      <c r="T27" s="4"/>
      <c r="U27" s="4"/>
      <c r="V27" s="4"/>
      <c r="W27" s="4"/>
      <c r="X27" s="4"/>
      <c r="Y27" s="4"/>
      <c r="Z27" s="4"/>
    </row>
    <row r="28" ht="146.25" customHeight="1">
      <c r="A28" s="71"/>
      <c r="B28" s="72">
        <f>DATEDIF(B26,D26,"M")+1</f>
        <v>24</v>
      </c>
      <c r="C28" s="73"/>
      <c r="D28" s="74"/>
      <c r="E28" s="75"/>
      <c r="F28" s="75"/>
      <c r="G28" s="75"/>
      <c r="H28" s="75"/>
      <c r="I28" s="75"/>
      <c r="J28" s="75"/>
      <c r="K28" s="75"/>
      <c r="L28" s="75"/>
      <c r="M28" s="75"/>
      <c r="N28" s="75"/>
      <c r="O28" s="75"/>
      <c r="P28" s="75"/>
      <c r="Q28" s="75"/>
      <c r="R28" s="75"/>
      <c r="S28" s="4"/>
      <c r="T28" s="4"/>
      <c r="U28" s="4"/>
      <c r="V28" s="4"/>
      <c r="W28" s="4"/>
      <c r="X28" s="4"/>
      <c r="Y28" s="4"/>
      <c r="Z28" s="4"/>
    </row>
    <row r="29" ht="20.25" customHeight="1">
      <c r="A29" s="76">
        <f>A26+1</f>
        <v>7</v>
      </c>
      <c r="B29" s="60"/>
      <c r="C29" s="60" t="s">
        <v>38</v>
      </c>
      <c r="D29" s="60"/>
      <c r="E29" s="82" t="s">
        <v>68</v>
      </c>
      <c r="F29" s="79"/>
      <c r="G29" s="78"/>
      <c r="H29" s="83"/>
      <c r="I29" s="79"/>
      <c r="J29" s="79"/>
      <c r="K29" s="79"/>
      <c r="L29" s="79"/>
      <c r="M29" s="79"/>
      <c r="N29" s="79"/>
      <c r="O29" s="79"/>
      <c r="P29" s="79"/>
      <c r="Q29" s="79"/>
      <c r="R29" s="84"/>
      <c r="S29" s="4"/>
      <c r="T29" s="4"/>
      <c r="U29" s="4"/>
      <c r="V29" s="4"/>
      <c r="W29" s="4"/>
      <c r="X29" s="4"/>
      <c r="Y29" s="4"/>
      <c r="Z29" s="4"/>
    </row>
    <row r="30" ht="111.0" customHeight="1">
      <c r="A30" s="66"/>
      <c r="B30" s="67"/>
      <c r="C30" s="67"/>
      <c r="D30" s="67"/>
      <c r="E30" s="85" t="s">
        <v>69</v>
      </c>
      <c r="F30" s="69"/>
      <c r="G30" s="86" t="s">
        <v>70</v>
      </c>
      <c r="H30" s="69"/>
      <c r="I30" s="69"/>
      <c r="J30" s="69"/>
      <c r="K30" s="69"/>
      <c r="L30" s="69"/>
      <c r="M30" s="69"/>
      <c r="N30" s="69"/>
      <c r="O30" s="69"/>
      <c r="P30" s="69"/>
      <c r="Q30" s="69"/>
      <c r="R30" s="87"/>
      <c r="S30" s="4"/>
      <c r="T30" s="4"/>
      <c r="U30" s="4"/>
      <c r="V30" s="4"/>
      <c r="W30" s="4"/>
      <c r="X30" s="4"/>
      <c r="Y30" s="4"/>
      <c r="Z30" s="4"/>
    </row>
    <row r="31" ht="20.25" customHeight="1">
      <c r="A31" s="71"/>
      <c r="B31" s="72">
        <f>DATEDIF(B29,D29,"M")+1</f>
        <v>1</v>
      </c>
      <c r="C31" s="73"/>
      <c r="D31" s="74"/>
      <c r="E31" s="75"/>
      <c r="F31" s="75"/>
      <c r="G31" s="75"/>
      <c r="H31" s="75"/>
      <c r="I31" s="75"/>
      <c r="J31" s="75"/>
      <c r="K31" s="75"/>
      <c r="L31" s="75"/>
      <c r="M31" s="75"/>
      <c r="N31" s="75"/>
      <c r="O31" s="75"/>
      <c r="P31" s="75"/>
      <c r="Q31" s="75"/>
      <c r="R31" s="88"/>
      <c r="S31" s="4"/>
      <c r="T31" s="4"/>
      <c r="U31" s="4"/>
      <c r="V31" s="4"/>
      <c r="W31" s="4"/>
      <c r="X31" s="4"/>
      <c r="Y31" s="4"/>
      <c r="Z31" s="4"/>
    </row>
    <row r="32" ht="20.25" customHeight="1">
      <c r="A32" s="76">
        <f>A29+1</f>
        <v>8</v>
      </c>
      <c r="B32" s="60"/>
      <c r="C32" s="60" t="s">
        <v>38</v>
      </c>
      <c r="D32" s="60"/>
      <c r="E32" s="82" t="s">
        <v>68</v>
      </c>
      <c r="F32" s="79"/>
      <c r="G32" s="78"/>
      <c r="H32" s="83"/>
      <c r="I32" s="79"/>
      <c r="J32" s="79"/>
      <c r="K32" s="79"/>
      <c r="L32" s="79"/>
      <c r="M32" s="79"/>
      <c r="N32" s="79"/>
      <c r="O32" s="79"/>
      <c r="P32" s="79"/>
      <c r="Q32" s="79"/>
      <c r="R32" s="84"/>
      <c r="S32" s="4"/>
      <c r="T32" s="4"/>
      <c r="U32" s="4"/>
      <c r="V32" s="4"/>
      <c r="W32" s="4"/>
      <c r="X32" s="4"/>
      <c r="Y32" s="4"/>
      <c r="Z32" s="4"/>
    </row>
    <row r="33" ht="111.0" customHeight="1">
      <c r="A33" s="66"/>
      <c r="B33" s="67"/>
      <c r="C33" s="67"/>
      <c r="D33" s="67"/>
      <c r="E33" s="85" t="s">
        <v>69</v>
      </c>
      <c r="F33" s="69"/>
      <c r="G33" s="86" t="s">
        <v>70</v>
      </c>
      <c r="H33" s="69"/>
      <c r="I33" s="69"/>
      <c r="J33" s="69"/>
      <c r="K33" s="69"/>
      <c r="L33" s="69"/>
      <c r="M33" s="69"/>
      <c r="N33" s="69"/>
      <c r="O33" s="69"/>
      <c r="P33" s="69"/>
      <c r="Q33" s="69"/>
      <c r="R33" s="87"/>
      <c r="S33" s="4"/>
      <c r="T33" s="4"/>
      <c r="U33" s="4"/>
      <c r="V33" s="4"/>
      <c r="W33" s="4"/>
      <c r="X33" s="4"/>
      <c r="Y33" s="4"/>
      <c r="Z33" s="4"/>
    </row>
    <row r="34" ht="20.25" customHeight="1">
      <c r="A34" s="71"/>
      <c r="B34" s="72">
        <f>DATEDIF(B32,D32,"M")+1</f>
        <v>1</v>
      </c>
      <c r="C34" s="73"/>
      <c r="D34" s="74"/>
      <c r="E34" s="75"/>
      <c r="F34" s="75"/>
      <c r="G34" s="75"/>
      <c r="H34" s="75"/>
      <c r="I34" s="75"/>
      <c r="J34" s="75"/>
      <c r="K34" s="75"/>
      <c r="L34" s="75"/>
      <c r="M34" s="75"/>
      <c r="N34" s="75"/>
      <c r="O34" s="75"/>
      <c r="P34" s="75"/>
      <c r="Q34" s="75"/>
      <c r="R34" s="88"/>
      <c r="S34" s="4"/>
      <c r="T34" s="4"/>
      <c r="U34" s="4"/>
      <c r="V34" s="4"/>
      <c r="W34" s="4"/>
      <c r="X34" s="4"/>
      <c r="Y34" s="4"/>
      <c r="Z34" s="4"/>
    </row>
    <row r="35" ht="20.25" customHeight="1">
      <c r="A35" s="76">
        <f>A32+1</f>
        <v>9</v>
      </c>
      <c r="B35" s="60"/>
      <c r="C35" s="60" t="s">
        <v>38</v>
      </c>
      <c r="D35" s="60"/>
      <c r="E35" s="82" t="s">
        <v>68</v>
      </c>
      <c r="F35" s="79"/>
      <c r="G35" s="78"/>
      <c r="H35" s="83"/>
      <c r="I35" s="79"/>
      <c r="J35" s="79"/>
      <c r="K35" s="79"/>
      <c r="L35" s="79"/>
      <c r="M35" s="79"/>
      <c r="N35" s="79"/>
      <c r="O35" s="79"/>
      <c r="P35" s="79"/>
      <c r="Q35" s="79"/>
      <c r="R35" s="84"/>
      <c r="S35" s="4"/>
      <c r="T35" s="4"/>
      <c r="U35" s="4"/>
      <c r="V35" s="4"/>
      <c r="W35" s="4"/>
      <c r="X35" s="4"/>
      <c r="Y35" s="4"/>
      <c r="Z35" s="4"/>
    </row>
    <row r="36" ht="111.0" customHeight="1">
      <c r="A36" s="66"/>
      <c r="B36" s="67"/>
      <c r="C36" s="67"/>
      <c r="D36" s="67"/>
      <c r="E36" s="85" t="s">
        <v>69</v>
      </c>
      <c r="F36" s="69"/>
      <c r="G36" s="86" t="s">
        <v>70</v>
      </c>
      <c r="H36" s="69"/>
      <c r="I36" s="69"/>
      <c r="J36" s="69"/>
      <c r="K36" s="69"/>
      <c r="L36" s="69"/>
      <c r="M36" s="69"/>
      <c r="N36" s="69"/>
      <c r="O36" s="69"/>
      <c r="P36" s="69"/>
      <c r="Q36" s="69"/>
      <c r="R36" s="87"/>
      <c r="S36" s="4"/>
      <c r="T36" s="4"/>
      <c r="U36" s="4"/>
      <c r="V36" s="4"/>
      <c r="W36" s="4"/>
      <c r="X36" s="4"/>
      <c r="Y36" s="4"/>
      <c r="Z36" s="4"/>
    </row>
    <row r="37" ht="20.25" customHeight="1">
      <c r="A37" s="71"/>
      <c r="B37" s="72">
        <f>DATEDIF(B35,D35,"M")+1</f>
        <v>1</v>
      </c>
      <c r="C37" s="73"/>
      <c r="D37" s="74"/>
      <c r="E37" s="75"/>
      <c r="F37" s="75"/>
      <c r="G37" s="75"/>
      <c r="H37" s="75"/>
      <c r="I37" s="75"/>
      <c r="J37" s="75"/>
      <c r="K37" s="75"/>
      <c r="L37" s="75"/>
      <c r="M37" s="75"/>
      <c r="N37" s="75"/>
      <c r="O37" s="75"/>
      <c r="P37" s="75"/>
      <c r="Q37" s="75"/>
      <c r="R37" s="88"/>
      <c r="S37" s="4"/>
      <c r="T37" s="4"/>
      <c r="U37" s="4"/>
      <c r="V37" s="4"/>
      <c r="W37" s="4"/>
      <c r="X37" s="4"/>
      <c r="Y37" s="4"/>
      <c r="Z37" s="4"/>
    </row>
    <row r="38" ht="20.25" customHeight="1">
      <c r="A38" s="76">
        <f>A35+1</f>
        <v>10</v>
      </c>
      <c r="B38" s="60"/>
      <c r="C38" s="60" t="s">
        <v>38</v>
      </c>
      <c r="D38" s="60"/>
      <c r="E38" s="82" t="s">
        <v>68</v>
      </c>
      <c r="F38" s="79"/>
      <c r="G38" s="78"/>
      <c r="H38" s="83"/>
      <c r="I38" s="79"/>
      <c r="J38" s="79"/>
      <c r="K38" s="79"/>
      <c r="L38" s="79"/>
      <c r="M38" s="79"/>
      <c r="N38" s="79"/>
      <c r="O38" s="79"/>
      <c r="P38" s="79"/>
      <c r="Q38" s="79"/>
      <c r="R38" s="84"/>
      <c r="S38" s="4"/>
      <c r="T38" s="4"/>
      <c r="U38" s="4"/>
      <c r="V38" s="4"/>
      <c r="W38" s="4"/>
      <c r="X38" s="4"/>
      <c r="Y38" s="4"/>
      <c r="Z38" s="4"/>
    </row>
    <row r="39" ht="111.0" customHeight="1">
      <c r="A39" s="66"/>
      <c r="B39" s="67"/>
      <c r="C39" s="67"/>
      <c r="D39" s="67"/>
      <c r="E39" s="85" t="s">
        <v>69</v>
      </c>
      <c r="F39" s="69"/>
      <c r="G39" s="86" t="s">
        <v>70</v>
      </c>
      <c r="H39" s="69"/>
      <c r="I39" s="69"/>
      <c r="J39" s="69"/>
      <c r="K39" s="69"/>
      <c r="L39" s="69"/>
      <c r="M39" s="69"/>
      <c r="N39" s="69"/>
      <c r="O39" s="69"/>
      <c r="P39" s="69"/>
      <c r="Q39" s="69"/>
      <c r="R39" s="87"/>
      <c r="S39" s="4"/>
      <c r="T39" s="4"/>
      <c r="U39" s="4"/>
      <c r="V39" s="4"/>
      <c r="W39" s="4"/>
      <c r="X39" s="4"/>
      <c r="Y39" s="4"/>
      <c r="Z39" s="4"/>
    </row>
    <row r="40" ht="20.25" customHeight="1">
      <c r="A40" s="71"/>
      <c r="B40" s="72">
        <f>DATEDIF(B38,D38,"M")+1</f>
        <v>1</v>
      </c>
      <c r="C40" s="73"/>
      <c r="D40" s="74"/>
      <c r="E40" s="75"/>
      <c r="F40" s="75"/>
      <c r="G40" s="75"/>
      <c r="H40" s="75"/>
      <c r="I40" s="75"/>
      <c r="J40" s="75"/>
      <c r="K40" s="75"/>
      <c r="L40" s="75"/>
      <c r="M40" s="75"/>
      <c r="N40" s="75"/>
      <c r="O40" s="75"/>
      <c r="P40" s="75"/>
      <c r="Q40" s="75"/>
      <c r="R40" s="88"/>
      <c r="S40" s="4"/>
      <c r="T40" s="4"/>
      <c r="U40" s="4"/>
      <c r="V40" s="4"/>
      <c r="W40" s="4"/>
      <c r="X40" s="4"/>
      <c r="Y40" s="4"/>
      <c r="Z40" s="4"/>
    </row>
    <row r="41" ht="20.25" customHeight="1">
      <c r="A41" s="76">
        <f>A38+1</f>
        <v>11</v>
      </c>
      <c r="B41" s="60"/>
      <c r="C41" s="60" t="s">
        <v>38</v>
      </c>
      <c r="D41" s="60"/>
      <c r="E41" s="82" t="s">
        <v>68</v>
      </c>
      <c r="F41" s="79"/>
      <c r="G41" s="78"/>
      <c r="H41" s="83"/>
      <c r="I41" s="79"/>
      <c r="J41" s="79"/>
      <c r="K41" s="79"/>
      <c r="L41" s="79"/>
      <c r="M41" s="79"/>
      <c r="N41" s="79"/>
      <c r="O41" s="79"/>
      <c r="P41" s="79"/>
      <c r="Q41" s="79"/>
      <c r="R41" s="84"/>
      <c r="S41" s="4"/>
      <c r="T41" s="4"/>
      <c r="U41" s="4"/>
      <c r="V41" s="4"/>
      <c r="W41" s="4"/>
      <c r="X41" s="4"/>
      <c r="Y41" s="4"/>
      <c r="Z41" s="4"/>
    </row>
    <row r="42" ht="108.0" customHeight="1">
      <c r="A42" s="66"/>
      <c r="B42" s="67"/>
      <c r="C42" s="67"/>
      <c r="D42" s="67"/>
      <c r="E42" s="85" t="s">
        <v>69</v>
      </c>
      <c r="F42" s="69"/>
      <c r="G42" s="86" t="s">
        <v>70</v>
      </c>
      <c r="H42" s="69"/>
      <c r="I42" s="69"/>
      <c r="J42" s="69"/>
      <c r="K42" s="69"/>
      <c r="L42" s="69"/>
      <c r="M42" s="69"/>
      <c r="N42" s="69"/>
      <c r="O42" s="69"/>
      <c r="P42" s="69"/>
      <c r="Q42" s="69"/>
      <c r="R42" s="87"/>
      <c r="S42" s="4"/>
      <c r="T42" s="4"/>
      <c r="U42" s="4"/>
      <c r="V42" s="4"/>
      <c r="W42" s="4"/>
      <c r="X42" s="4"/>
      <c r="Y42" s="4"/>
      <c r="Z42" s="4"/>
    </row>
    <row r="43" ht="20.25" customHeight="1">
      <c r="A43" s="71"/>
      <c r="B43" s="72">
        <f>DATEDIF(B41,D41,"M")+1</f>
        <v>1</v>
      </c>
      <c r="C43" s="73"/>
      <c r="D43" s="74"/>
      <c r="E43" s="75"/>
      <c r="F43" s="75"/>
      <c r="G43" s="75"/>
      <c r="H43" s="75"/>
      <c r="I43" s="75"/>
      <c r="J43" s="75"/>
      <c r="K43" s="75"/>
      <c r="L43" s="75"/>
      <c r="M43" s="75"/>
      <c r="N43" s="75"/>
      <c r="O43" s="75"/>
      <c r="P43" s="75"/>
      <c r="Q43" s="75"/>
      <c r="R43" s="88"/>
      <c r="S43" s="4"/>
      <c r="T43" s="4"/>
      <c r="U43" s="4"/>
      <c r="V43" s="4"/>
      <c r="W43" s="4"/>
      <c r="X43" s="4"/>
      <c r="Y43" s="4"/>
      <c r="Z43" s="4"/>
    </row>
    <row r="44" ht="20.25" customHeight="1">
      <c r="A44" s="76">
        <f>A41+1</f>
        <v>12</v>
      </c>
      <c r="B44" s="60"/>
      <c r="C44" s="60" t="s">
        <v>38</v>
      </c>
      <c r="D44" s="60"/>
      <c r="E44" s="82" t="s">
        <v>68</v>
      </c>
      <c r="F44" s="79"/>
      <c r="G44" s="78"/>
      <c r="H44" s="83"/>
      <c r="I44" s="79"/>
      <c r="J44" s="79"/>
      <c r="K44" s="79"/>
      <c r="L44" s="79"/>
      <c r="M44" s="79"/>
      <c r="N44" s="79"/>
      <c r="O44" s="79"/>
      <c r="P44" s="79"/>
      <c r="Q44" s="79"/>
      <c r="R44" s="84"/>
      <c r="S44" s="4"/>
      <c r="T44" s="4"/>
      <c r="U44" s="4"/>
      <c r="V44" s="4"/>
      <c r="W44" s="4"/>
      <c r="X44" s="4"/>
      <c r="Y44" s="4"/>
      <c r="Z44" s="4"/>
    </row>
    <row r="45" ht="108.0" customHeight="1">
      <c r="A45" s="66"/>
      <c r="B45" s="67"/>
      <c r="C45" s="67"/>
      <c r="D45" s="67"/>
      <c r="E45" s="85" t="s">
        <v>69</v>
      </c>
      <c r="F45" s="69"/>
      <c r="G45" s="86" t="s">
        <v>70</v>
      </c>
      <c r="H45" s="69"/>
      <c r="I45" s="69"/>
      <c r="J45" s="69"/>
      <c r="K45" s="69"/>
      <c r="L45" s="69"/>
      <c r="M45" s="69"/>
      <c r="N45" s="69"/>
      <c r="O45" s="69"/>
      <c r="P45" s="69"/>
      <c r="Q45" s="69"/>
      <c r="R45" s="87"/>
      <c r="S45" s="4"/>
      <c r="T45" s="4"/>
      <c r="U45" s="4"/>
      <c r="V45" s="4"/>
      <c r="W45" s="4"/>
      <c r="X45" s="4"/>
      <c r="Y45" s="4"/>
      <c r="Z45" s="4"/>
    </row>
    <row r="46" ht="20.25" customHeight="1">
      <c r="A46" s="71"/>
      <c r="B46" s="72">
        <f>DATEDIF(B44,D44,"M")+1</f>
        <v>1</v>
      </c>
      <c r="C46" s="73"/>
      <c r="D46" s="74"/>
      <c r="E46" s="75"/>
      <c r="F46" s="75"/>
      <c r="G46" s="75"/>
      <c r="H46" s="75"/>
      <c r="I46" s="75"/>
      <c r="J46" s="75"/>
      <c r="K46" s="75"/>
      <c r="L46" s="75"/>
      <c r="M46" s="75"/>
      <c r="N46" s="75"/>
      <c r="O46" s="75"/>
      <c r="P46" s="75"/>
      <c r="Q46" s="75"/>
      <c r="R46" s="88"/>
      <c r="S46" s="4"/>
      <c r="T46" s="4"/>
      <c r="U46" s="4"/>
      <c r="V46" s="4"/>
      <c r="W46" s="4"/>
      <c r="X46" s="4"/>
      <c r="Y46" s="4"/>
      <c r="Z46" s="4"/>
    </row>
    <row r="47" ht="20.25" customHeight="1">
      <c r="A47" s="76">
        <f>A44+1</f>
        <v>13</v>
      </c>
      <c r="B47" s="60"/>
      <c r="C47" s="60" t="s">
        <v>38</v>
      </c>
      <c r="D47" s="60"/>
      <c r="E47" s="82" t="s">
        <v>68</v>
      </c>
      <c r="F47" s="79"/>
      <c r="G47" s="78"/>
      <c r="H47" s="83"/>
      <c r="I47" s="79"/>
      <c r="J47" s="79"/>
      <c r="K47" s="79"/>
      <c r="L47" s="79"/>
      <c r="M47" s="79"/>
      <c r="N47" s="79"/>
      <c r="O47" s="79"/>
      <c r="P47" s="79"/>
      <c r="Q47" s="79"/>
      <c r="R47" s="84"/>
      <c r="S47" s="4"/>
      <c r="T47" s="4"/>
      <c r="U47" s="4"/>
      <c r="V47" s="4"/>
      <c r="W47" s="4"/>
      <c r="X47" s="4"/>
      <c r="Y47" s="4"/>
      <c r="Z47" s="4"/>
    </row>
    <row r="48" ht="111.0" customHeight="1">
      <c r="A48" s="66"/>
      <c r="B48" s="67"/>
      <c r="C48" s="67"/>
      <c r="D48" s="67"/>
      <c r="E48" s="85" t="s">
        <v>69</v>
      </c>
      <c r="F48" s="69"/>
      <c r="G48" s="86" t="s">
        <v>70</v>
      </c>
      <c r="H48" s="69"/>
      <c r="I48" s="69"/>
      <c r="J48" s="69"/>
      <c r="K48" s="69"/>
      <c r="L48" s="69"/>
      <c r="M48" s="69"/>
      <c r="N48" s="69"/>
      <c r="O48" s="69"/>
      <c r="P48" s="69"/>
      <c r="Q48" s="69"/>
      <c r="R48" s="87"/>
      <c r="S48" s="4"/>
      <c r="T48" s="4"/>
      <c r="U48" s="4"/>
      <c r="V48" s="4"/>
      <c r="W48" s="4"/>
      <c r="X48" s="4"/>
      <c r="Y48" s="4"/>
      <c r="Z48" s="4"/>
    </row>
    <row r="49" ht="20.25" customHeight="1">
      <c r="A49" s="71"/>
      <c r="B49" s="72">
        <f>DATEDIF(B47,D47,"M")+1</f>
        <v>1</v>
      </c>
      <c r="C49" s="73"/>
      <c r="D49" s="74"/>
      <c r="E49" s="75"/>
      <c r="F49" s="75"/>
      <c r="G49" s="75"/>
      <c r="H49" s="75"/>
      <c r="I49" s="75"/>
      <c r="J49" s="75"/>
      <c r="K49" s="75"/>
      <c r="L49" s="75"/>
      <c r="M49" s="75"/>
      <c r="N49" s="75"/>
      <c r="O49" s="75"/>
      <c r="P49" s="75"/>
      <c r="Q49" s="75"/>
      <c r="R49" s="88"/>
      <c r="S49" s="4"/>
      <c r="T49" s="4"/>
      <c r="U49" s="4"/>
      <c r="V49" s="4"/>
      <c r="W49" s="4"/>
      <c r="X49" s="4"/>
      <c r="Y49" s="4"/>
      <c r="Z49" s="4"/>
    </row>
    <row r="50" ht="20.25" customHeight="1">
      <c r="A50" s="76">
        <f>A44+1</f>
        <v>13</v>
      </c>
      <c r="B50" s="60"/>
      <c r="C50" s="60" t="s">
        <v>38</v>
      </c>
      <c r="D50" s="60"/>
      <c r="E50" s="82" t="s">
        <v>68</v>
      </c>
      <c r="F50" s="79"/>
      <c r="G50" s="78"/>
      <c r="H50" s="83"/>
      <c r="I50" s="79"/>
      <c r="J50" s="79"/>
      <c r="K50" s="79"/>
      <c r="L50" s="79"/>
      <c r="M50" s="79"/>
      <c r="N50" s="79"/>
      <c r="O50" s="79"/>
      <c r="P50" s="79"/>
      <c r="Q50" s="79"/>
      <c r="R50" s="84"/>
      <c r="S50" s="4"/>
      <c r="T50" s="4"/>
      <c r="U50" s="4"/>
      <c r="V50" s="4"/>
      <c r="W50" s="4"/>
      <c r="X50" s="4"/>
      <c r="Y50" s="4"/>
      <c r="Z50" s="4"/>
    </row>
    <row r="51" ht="111.0" customHeight="1">
      <c r="A51" s="66"/>
      <c r="B51" s="67"/>
      <c r="C51" s="67"/>
      <c r="D51" s="67"/>
      <c r="E51" s="85" t="s">
        <v>69</v>
      </c>
      <c r="F51" s="69"/>
      <c r="G51" s="86" t="s">
        <v>70</v>
      </c>
      <c r="H51" s="69"/>
      <c r="I51" s="69"/>
      <c r="J51" s="69"/>
      <c r="K51" s="69"/>
      <c r="L51" s="69"/>
      <c r="M51" s="69"/>
      <c r="N51" s="69"/>
      <c r="O51" s="69"/>
      <c r="P51" s="69"/>
      <c r="Q51" s="69"/>
      <c r="R51" s="87"/>
      <c r="S51" s="4"/>
      <c r="T51" s="4"/>
      <c r="U51" s="4"/>
      <c r="V51" s="4"/>
      <c r="W51" s="4"/>
      <c r="X51" s="4"/>
      <c r="Y51" s="4"/>
      <c r="Z51" s="4"/>
    </row>
    <row r="52" ht="20.25" customHeight="1">
      <c r="A52" s="89"/>
      <c r="B52" s="90">
        <f>DATEDIF(B50,D50,"M")+1</f>
        <v>1</v>
      </c>
      <c r="C52" s="91"/>
      <c r="D52" s="92"/>
      <c r="E52" s="75"/>
      <c r="F52" s="75"/>
      <c r="G52" s="75"/>
      <c r="H52" s="75"/>
      <c r="I52" s="75"/>
      <c r="J52" s="75"/>
      <c r="K52" s="75"/>
      <c r="L52" s="75"/>
      <c r="M52" s="75"/>
      <c r="N52" s="75"/>
      <c r="O52" s="75"/>
      <c r="P52" s="75"/>
      <c r="Q52" s="75"/>
      <c r="R52" s="88"/>
      <c r="S52" s="4"/>
      <c r="T52" s="4"/>
      <c r="U52" s="4"/>
      <c r="V52" s="4"/>
      <c r="W52" s="4"/>
      <c r="X52" s="4"/>
      <c r="Y52" s="4"/>
      <c r="Z52" s="4"/>
    </row>
    <row r="53" ht="20.25" customHeight="1">
      <c r="A53" s="76">
        <f>A47+1</f>
        <v>14</v>
      </c>
      <c r="B53" s="60"/>
      <c r="C53" s="60" t="s">
        <v>38</v>
      </c>
      <c r="D53" s="60"/>
      <c r="E53" s="82" t="s">
        <v>68</v>
      </c>
      <c r="F53" s="79"/>
      <c r="G53" s="78"/>
      <c r="H53" s="83"/>
      <c r="I53" s="79"/>
      <c r="J53" s="79"/>
      <c r="K53" s="79"/>
      <c r="L53" s="79"/>
      <c r="M53" s="79"/>
      <c r="N53" s="79"/>
      <c r="O53" s="79"/>
      <c r="P53" s="79"/>
      <c r="Q53" s="79"/>
      <c r="R53" s="84"/>
      <c r="S53" s="4"/>
      <c r="T53" s="4"/>
      <c r="U53" s="4"/>
      <c r="V53" s="4"/>
      <c r="W53" s="4"/>
      <c r="X53" s="4"/>
      <c r="Y53" s="4"/>
      <c r="Z53" s="4"/>
    </row>
    <row r="54" ht="111.0" customHeight="1">
      <c r="A54" s="66"/>
      <c r="B54" s="67"/>
      <c r="C54" s="67"/>
      <c r="D54" s="67"/>
      <c r="E54" s="85" t="s">
        <v>69</v>
      </c>
      <c r="F54" s="69"/>
      <c r="G54" s="86" t="s">
        <v>70</v>
      </c>
      <c r="H54" s="69"/>
      <c r="I54" s="69"/>
      <c r="J54" s="69"/>
      <c r="K54" s="69"/>
      <c r="L54" s="69"/>
      <c r="M54" s="69"/>
      <c r="N54" s="69"/>
      <c r="O54" s="69"/>
      <c r="P54" s="69"/>
      <c r="Q54" s="69"/>
      <c r="R54" s="87"/>
      <c r="S54" s="4"/>
      <c r="T54" s="4"/>
      <c r="U54" s="4"/>
      <c r="V54" s="4"/>
      <c r="W54" s="4"/>
      <c r="X54" s="4"/>
      <c r="Y54" s="4"/>
      <c r="Z54" s="4"/>
    </row>
    <row r="55" ht="20.25" customHeight="1">
      <c r="A55" s="89"/>
      <c r="B55" s="90">
        <f>DATEDIF(B53,D53,"M")+1</f>
        <v>1</v>
      </c>
      <c r="C55" s="91"/>
      <c r="D55" s="92"/>
      <c r="E55" s="75"/>
      <c r="F55" s="75"/>
      <c r="G55" s="75"/>
      <c r="H55" s="75"/>
      <c r="I55" s="75"/>
      <c r="J55" s="75"/>
      <c r="K55" s="75"/>
      <c r="L55" s="75"/>
      <c r="M55" s="75"/>
      <c r="N55" s="75"/>
      <c r="O55" s="75"/>
      <c r="P55" s="75"/>
      <c r="Q55" s="75"/>
      <c r="R55" s="88"/>
      <c r="S55" s="4"/>
      <c r="T55" s="4"/>
      <c r="U55" s="4"/>
      <c r="V55" s="4"/>
      <c r="W55" s="4"/>
      <c r="X55" s="4"/>
      <c r="Y55" s="4"/>
      <c r="Z55" s="4"/>
    </row>
    <row r="56" ht="20.25" customHeight="1">
      <c r="A56" s="93">
        <f>A53+1</f>
        <v>15</v>
      </c>
      <c r="B56" s="94"/>
      <c r="C56" s="94" t="s">
        <v>38</v>
      </c>
      <c r="D56" s="94"/>
      <c r="E56" s="82" t="s">
        <v>68</v>
      </c>
      <c r="F56" s="79"/>
      <c r="G56" s="78"/>
      <c r="H56" s="83"/>
      <c r="I56" s="79"/>
      <c r="J56" s="79"/>
      <c r="K56" s="79"/>
      <c r="L56" s="79"/>
      <c r="M56" s="79"/>
      <c r="N56" s="79"/>
      <c r="O56" s="79"/>
      <c r="P56" s="79"/>
      <c r="Q56" s="79"/>
      <c r="R56" s="84"/>
      <c r="S56" s="4"/>
      <c r="T56" s="4"/>
      <c r="U56" s="4"/>
      <c r="V56" s="4"/>
      <c r="W56" s="4"/>
      <c r="X56" s="4"/>
      <c r="Y56" s="4"/>
      <c r="Z56" s="4"/>
    </row>
    <row r="57" ht="107.25" customHeight="1">
      <c r="A57" s="66"/>
      <c r="B57" s="67"/>
      <c r="C57" s="67"/>
      <c r="D57" s="67"/>
      <c r="E57" s="85" t="s">
        <v>69</v>
      </c>
      <c r="F57" s="69"/>
      <c r="G57" s="95" t="s">
        <v>70</v>
      </c>
      <c r="H57" s="69"/>
      <c r="I57" s="69"/>
      <c r="J57" s="69"/>
      <c r="K57" s="69"/>
      <c r="L57" s="69"/>
      <c r="M57" s="69"/>
      <c r="N57" s="69"/>
      <c r="O57" s="69"/>
      <c r="P57" s="69"/>
      <c r="Q57" s="69"/>
      <c r="R57" s="87"/>
      <c r="S57" s="4"/>
      <c r="T57" s="4"/>
      <c r="U57" s="4"/>
      <c r="V57" s="4"/>
      <c r="W57" s="4"/>
      <c r="X57" s="4"/>
      <c r="Y57" s="4"/>
      <c r="Z57" s="4"/>
    </row>
    <row r="58" ht="20.25" customHeight="1">
      <c r="A58" s="96"/>
      <c r="B58" s="97">
        <f>DATEDIF(B56,D56,"M")+1</f>
        <v>1</v>
      </c>
      <c r="C58" s="29"/>
      <c r="D58" s="98"/>
      <c r="E58" s="99"/>
      <c r="F58" s="100"/>
      <c r="G58" s="100"/>
      <c r="H58" s="99"/>
      <c r="I58" s="99"/>
      <c r="J58" s="99"/>
      <c r="K58" s="99"/>
      <c r="L58" s="99"/>
      <c r="M58" s="99"/>
      <c r="N58" s="99"/>
      <c r="O58" s="99"/>
      <c r="P58" s="99"/>
      <c r="Q58" s="99"/>
      <c r="R58" s="101"/>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335">
    <mergeCell ref="Q11:Q13"/>
    <mergeCell ref="R11:R13"/>
    <mergeCell ref="J11:J13"/>
    <mergeCell ref="K11:K13"/>
    <mergeCell ref="L11:L13"/>
    <mergeCell ref="M11:M13"/>
    <mergeCell ref="N11:N13"/>
    <mergeCell ref="O11:O13"/>
    <mergeCell ref="P11:P13"/>
    <mergeCell ref="H11:H13"/>
    <mergeCell ref="G12:G13"/>
    <mergeCell ref="B11:B12"/>
    <mergeCell ref="C11:C12"/>
    <mergeCell ref="D11:D12"/>
    <mergeCell ref="F11:F13"/>
    <mergeCell ref="I11:I13"/>
    <mergeCell ref="E12:E13"/>
    <mergeCell ref="B13:D13"/>
    <mergeCell ref="P14:P16"/>
    <mergeCell ref="Q14:Q16"/>
    <mergeCell ref="I14:I16"/>
    <mergeCell ref="J14:J16"/>
    <mergeCell ref="K14:K16"/>
    <mergeCell ref="L14:L16"/>
    <mergeCell ref="M14:M16"/>
    <mergeCell ref="N14:N16"/>
    <mergeCell ref="O14:O16"/>
    <mergeCell ref="P17:P19"/>
    <mergeCell ref="Q17:Q19"/>
    <mergeCell ref="I17:I19"/>
    <mergeCell ref="J17:J19"/>
    <mergeCell ref="K17:K19"/>
    <mergeCell ref="L17:L19"/>
    <mergeCell ref="M17:M19"/>
    <mergeCell ref="N17:N19"/>
    <mergeCell ref="O17:O19"/>
    <mergeCell ref="B20:B21"/>
    <mergeCell ref="C20:C21"/>
    <mergeCell ref="D20:D21"/>
    <mergeCell ref="F20:F22"/>
    <mergeCell ref="I20:I22"/>
    <mergeCell ref="E21:E22"/>
    <mergeCell ref="B22:D22"/>
    <mergeCell ref="A20:A22"/>
    <mergeCell ref="B23:B24"/>
    <mergeCell ref="C23:C24"/>
    <mergeCell ref="D23:D24"/>
    <mergeCell ref="F23:F25"/>
    <mergeCell ref="E24:E25"/>
    <mergeCell ref="B25:D25"/>
    <mergeCell ref="P26:P28"/>
    <mergeCell ref="Q26:Q28"/>
    <mergeCell ref="I26:I28"/>
    <mergeCell ref="J26:J28"/>
    <mergeCell ref="K26:K28"/>
    <mergeCell ref="L26:L28"/>
    <mergeCell ref="M26:M28"/>
    <mergeCell ref="N26:N28"/>
    <mergeCell ref="O26:O28"/>
    <mergeCell ref="H26:H28"/>
    <mergeCell ref="G27:G28"/>
    <mergeCell ref="A23:A25"/>
    <mergeCell ref="B26:B27"/>
    <mergeCell ref="C26:C27"/>
    <mergeCell ref="D26:D27"/>
    <mergeCell ref="F26:F28"/>
    <mergeCell ref="E27:E28"/>
    <mergeCell ref="B28:D28"/>
    <mergeCell ref="H14:H16"/>
    <mergeCell ref="G15:G16"/>
    <mergeCell ref="A11:A13"/>
    <mergeCell ref="B14:B15"/>
    <mergeCell ref="C14:C15"/>
    <mergeCell ref="D14:D15"/>
    <mergeCell ref="F14:F16"/>
    <mergeCell ref="E15:E16"/>
    <mergeCell ref="B16:D16"/>
    <mergeCell ref="Q20:Q22"/>
    <mergeCell ref="R20:R22"/>
    <mergeCell ref="R26:R28"/>
    <mergeCell ref="R29:R31"/>
    <mergeCell ref="R32:R34"/>
    <mergeCell ref="J20:J22"/>
    <mergeCell ref="K20:K22"/>
    <mergeCell ref="L20:L22"/>
    <mergeCell ref="M20:M22"/>
    <mergeCell ref="N20:N22"/>
    <mergeCell ref="O20:O22"/>
    <mergeCell ref="P20:P22"/>
    <mergeCell ref="M23:M25"/>
    <mergeCell ref="N23:N25"/>
    <mergeCell ref="O23:O25"/>
    <mergeCell ref="P23:P25"/>
    <mergeCell ref="Q23:Q25"/>
    <mergeCell ref="R23:R25"/>
    <mergeCell ref="H20:H22"/>
    <mergeCell ref="G21:G22"/>
    <mergeCell ref="H23:H25"/>
    <mergeCell ref="I23:I25"/>
    <mergeCell ref="J23:J25"/>
    <mergeCell ref="K23:K25"/>
    <mergeCell ref="L23:L25"/>
    <mergeCell ref="G24:G25"/>
    <mergeCell ref="H32:H34"/>
    <mergeCell ref="G33:G34"/>
    <mergeCell ref="A29:A31"/>
    <mergeCell ref="A32:A34"/>
    <mergeCell ref="B32:B33"/>
    <mergeCell ref="C32:C33"/>
    <mergeCell ref="D32:D33"/>
    <mergeCell ref="F32:F34"/>
    <mergeCell ref="E33:E34"/>
    <mergeCell ref="B34:D34"/>
    <mergeCell ref="H29:H31"/>
    <mergeCell ref="G30:G31"/>
    <mergeCell ref="A26:A28"/>
    <mergeCell ref="B29:B30"/>
    <mergeCell ref="C29:C30"/>
    <mergeCell ref="D29:D30"/>
    <mergeCell ref="F29:F31"/>
    <mergeCell ref="E30:E31"/>
    <mergeCell ref="B31:D31"/>
    <mergeCell ref="Q35:Q37"/>
    <mergeCell ref="R35:R37"/>
    <mergeCell ref="R41:R43"/>
    <mergeCell ref="R44:R46"/>
    <mergeCell ref="J35:J37"/>
    <mergeCell ref="K35:K37"/>
    <mergeCell ref="L35:L37"/>
    <mergeCell ref="M35:M37"/>
    <mergeCell ref="N35:N37"/>
    <mergeCell ref="O35:O37"/>
    <mergeCell ref="P35:P37"/>
    <mergeCell ref="M38:M40"/>
    <mergeCell ref="N38:N40"/>
    <mergeCell ref="O38:O40"/>
    <mergeCell ref="P38:P40"/>
    <mergeCell ref="Q38:Q40"/>
    <mergeCell ref="R38:R40"/>
    <mergeCell ref="H35:H37"/>
    <mergeCell ref="G36:G37"/>
    <mergeCell ref="H38:H40"/>
    <mergeCell ref="I38:I40"/>
    <mergeCell ref="J38:J40"/>
    <mergeCell ref="K38:K40"/>
    <mergeCell ref="L38:L40"/>
    <mergeCell ref="G39:G40"/>
    <mergeCell ref="H44:H46"/>
    <mergeCell ref="G45:G46"/>
    <mergeCell ref="A41:A43"/>
    <mergeCell ref="A44:A46"/>
    <mergeCell ref="B44:B45"/>
    <mergeCell ref="C44:C45"/>
    <mergeCell ref="D44:D45"/>
    <mergeCell ref="F44:F46"/>
    <mergeCell ref="E45:E46"/>
    <mergeCell ref="B46:D46"/>
    <mergeCell ref="B47:B48"/>
    <mergeCell ref="C47:C48"/>
    <mergeCell ref="D47:D48"/>
    <mergeCell ref="F47:F49"/>
    <mergeCell ref="I47:I49"/>
    <mergeCell ref="E48:E49"/>
    <mergeCell ref="B49:D49"/>
    <mergeCell ref="A47:A49"/>
    <mergeCell ref="B50:B51"/>
    <mergeCell ref="C50:C51"/>
    <mergeCell ref="D50:D51"/>
    <mergeCell ref="F50:F52"/>
    <mergeCell ref="E51:E52"/>
    <mergeCell ref="B52:D52"/>
    <mergeCell ref="H41:H43"/>
    <mergeCell ref="G42:G43"/>
    <mergeCell ref="A38:A40"/>
    <mergeCell ref="B41:B42"/>
    <mergeCell ref="C41:C42"/>
    <mergeCell ref="D41:D42"/>
    <mergeCell ref="F41:F43"/>
    <mergeCell ref="E42:E43"/>
    <mergeCell ref="B43:D43"/>
    <mergeCell ref="Q47:Q49"/>
    <mergeCell ref="R47:R49"/>
    <mergeCell ref="R53:R55"/>
    <mergeCell ref="J47:J49"/>
    <mergeCell ref="K47:K49"/>
    <mergeCell ref="L47:L49"/>
    <mergeCell ref="M47:M49"/>
    <mergeCell ref="N47:N49"/>
    <mergeCell ref="O47:O49"/>
    <mergeCell ref="P47:P49"/>
    <mergeCell ref="M50:M52"/>
    <mergeCell ref="N50:N52"/>
    <mergeCell ref="O50:O52"/>
    <mergeCell ref="P50:P52"/>
    <mergeCell ref="Q50:Q52"/>
    <mergeCell ref="R50:R52"/>
    <mergeCell ref="H47:H49"/>
    <mergeCell ref="G48:G49"/>
    <mergeCell ref="H50:H52"/>
    <mergeCell ref="I50:I52"/>
    <mergeCell ref="J50:J52"/>
    <mergeCell ref="K50:K52"/>
    <mergeCell ref="L50:L52"/>
    <mergeCell ref="G51:G52"/>
    <mergeCell ref="H53:H55"/>
    <mergeCell ref="G54:G55"/>
    <mergeCell ref="A50:A52"/>
    <mergeCell ref="A53:A55"/>
    <mergeCell ref="B53:B54"/>
    <mergeCell ref="C53:C54"/>
    <mergeCell ref="D53:D54"/>
    <mergeCell ref="F53:F55"/>
    <mergeCell ref="E54:E55"/>
    <mergeCell ref="B55:D55"/>
    <mergeCell ref="G3:H3"/>
    <mergeCell ref="I3:R3"/>
    <mergeCell ref="A1:R1"/>
    <mergeCell ref="A2:B2"/>
    <mergeCell ref="C2:F2"/>
    <mergeCell ref="G2:H2"/>
    <mergeCell ref="I2:R2"/>
    <mergeCell ref="A3:B3"/>
    <mergeCell ref="C3:F3"/>
    <mergeCell ref="A4:B4"/>
    <mergeCell ref="C4:F4"/>
    <mergeCell ref="G4:H4"/>
    <mergeCell ref="I4:R4"/>
    <mergeCell ref="A5:B5"/>
    <mergeCell ref="G5:H5"/>
    <mergeCell ref="I5:R5"/>
    <mergeCell ref="A6:B6"/>
    <mergeCell ref="C6:R6"/>
    <mergeCell ref="A7:B7"/>
    <mergeCell ref="C7:R7"/>
    <mergeCell ref="C8:R8"/>
    <mergeCell ref="J9:J10"/>
    <mergeCell ref="K9:K10"/>
    <mergeCell ref="L9:R9"/>
    <mergeCell ref="R14:R16"/>
    <mergeCell ref="R17:R19"/>
    <mergeCell ref="A8:B8"/>
    <mergeCell ref="A9:D10"/>
    <mergeCell ref="E9:E10"/>
    <mergeCell ref="F9:F10"/>
    <mergeCell ref="G9:G10"/>
    <mergeCell ref="H9:H10"/>
    <mergeCell ref="I9:I10"/>
    <mergeCell ref="H17:H19"/>
    <mergeCell ref="G18:G19"/>
    <mergeCell ref="A14:A16"/>
    <mergeCell ref="A17:A19"/>
    <mergeCell ref="B17:B18"/>
    <mergeCell ref="C17:C18"/>
    <mergeCell ref="D17:D18"/>
    <mergeCell ref="F17:F19"/>
    <mergeCell ref="E18:E19"/>
    <mergeCell ref="B19:D19"/>
    <mergeCell ref="P29:P31"/>
    <mergeCell ref="Q29:Q31"/>
    <mergeCell ref="I29:I31"/>
    <mergeCell ref="J29:J31"/>
    <mergeCell ref="K29:K31"/>
    <mergeCell ref="L29:L31"/>
    <mergeCell ref="M29:M31"/>
    <mergeCell ref="N29:N31"/>
    <mergeCell ref="O29:O31"/>
    <mergeCell ref="P32:P34"/>
    <mergeCell ref="Q32:Q34"/>
    <mergeCell ref="I32:I34"/>
    <mergeCell ref="J32:J34"/>
    <mergeCell ref="K32:K34"/>
    <mergeCell ref="L32:L34"/>
    <mergeCell ref="M32:M34"/>
    <mergeCell ref="N32:N34"/>
    <mergeCell ref="O32:O34"/>
    <mergeCell ref="B35:B36"/>
    <mergeCell ref="C35:C36"/>
    <mergeCell ref="D35:D36"/>
    <mergeCell ref="F35:F37"/>
    <mergeCell ref="I35:I37"/>
    <mergeCell ref="E36:E37"/>
    <mergeCell ref="B37:D37"/>
    <mergeCell ref="A35:A37"/>
    <mergeCell ref="B38:B39"/>
    <mergeCell ref="C38:C39"/>
    <mergeCell ref="D38:D39"/>
    <mergeCell ref="F38:F40"/>
    <mergeCell ref="E39:E40"/>
    <mergeCell ref="B40:D40"/>
    <mergeCell ref="P41:P43"/>
    <mergeCell ref="Q41:Q43"/>
    <mergeCell ref="I41:I43"/>
    <mergeCell ref="J41:J43"/>
    <mergeCell ref="K41:K43"/>
    <mergeCell ref="L41:L43"/>
    <mergeCell ref="M41:M43"/>
    <mergeCell ref="N41:N43"/>
    <mergeCell ref="O41:O43"/>
    <mergeCell ref="P44:P46"/>
    <mergeCell ref="Q44:Q46"/>
    <mergeCell ref="I44:I46"/>
    <mergeCell ref="J44:J46"/>
    <mergeCell ref="K44:K46"/>
    <mergeCell ref="L44:L46"/>
    <mergeCell ref="M44:M46"/>
    <mergeCell ref="N44:N46"/>
    <mergeCell ref="O44:O46"/>
    <mergeCell ref="P53:P55"/>
    <mergeCell ref="Q53:Q55"/>
    <mergeCell ref="I53:I55"/>
    <mergeCell ref="J53:J55"/>
    <mergeCell ref="K53:K55"/>
    <mergeCell ref="L53:L55"/>
    <mergeCell ref="M53:M55"/>
    <mergeCell ref="N53:N55"/>
    <mergeCell ref="O53:O55"/>
    <mergeCell ref="Q56:Q58"/>
    <mergeCell ref="R56:R58"/>
    <mergeCell ref="J56:J58"/>
    <mergeCell ref="K56:K58"/>
    <mergeCell ref="L56:L58"/>
    <mergeCell ref="M56:M58"/>
    <mergeCell ref="N56:N58"/>
    <mergeCell ref="O56:O58"/>
    <mergeCell ref="P56:P58"/>
    <mergeCell ref="H56:H58"/>
    <mergeCell ref="G57:G58"/>
    <mergeCell ref="A56:A58"/>
    <mergeCell ref="B56:B57"/>
    <mergeCell ref="C56:C57"/>
    <mergeCell ref="D56:D57"/>
    <mergeCell ref="F56:F58"/>
    <mergeCell ref="I56:I58"/>
    <mergeCell ref="E57:E58"/>
    <mergeCell ref="B58:D58"/>
  </mergeCells>
  <hyperlinks>
    <hyperlink r:id="rId1" ref="C8"/>
    <hyperlink r:id="rId2" ref="E12"/>
    <hyperlink r:id="rId3" ref="E15"/>
    <hyperlink r:id="rId4" ref="E18"/>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2007-07-01T21:36:29Z</dcterms:created>
  <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str>1041-10.8.0.5416</vt:lpstr>
  </property>
</Properties>
</file>